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Questions" sheetId="2" state="visible" r:id="rId4"/>
    <sheet name="Summary" sheetId="3" state="visible" r:id="rId5"/>
    <sheet name="Runs" sheetId="4" state="visible" r:id="rId6"/>
    <sheet name="Prompt Change Log" sheetId="5" state="visible" r:id="rId7"/>
  </sheets>
  <definedNames>
    <definedName function="false" hidden="true" localSheetId="3" name="_xlnm._FilterDatabase" vbProcedure="false">Runs!$A$1:$H$101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<sst xmlns="http://schemas.openxmlformats.org/spreadsheetml/2006/main" count="284" uniqueCount="141">
  <si>
    <t xml:space="preserve">Maintenance Knowledge Agent: test tracker</t>
  </si>
  <si>
    <t xml:space="preserve">How to use</t>
  </si>
  <si>
    <t xml:space="preserve">1. Questions sheet: the 20 fixed test questions with expected answers. Do not edit them between runs.</t>
  </si>
  <si>
    <t xml:space="preserve">2. Summary sheet: type a name for each run in the yellow cells (column A). The Runs sheet picks those names up.</t>
  </si>
  <si>
    <t xml:space="preserve">3. Runs sheet: for each run and question, type 1 (yes) or 0 (no) in the three yellow score columns.</t>
  </si>
  <si>
    <t xml:space="preserve">4. Summary updates by itself. Only runs you have fully scored show percentages.</t>
  </si>
  <si>
    <t xml:space="preserve">5. Prompt Change Log sheet: log ONE change per version, then re-run all 20 questions.</t>
  </si>
  <si>
    <t xml:space="preserve">Scoring rules</t>
  </si>
  <si>
    <t xml:space="preserve">Answer correct = 1 if the answer matches the expected answer with no wrong or invented facts. For out-of-scope questions, 1 only if nothing was invented.</t>
  </si>
  <si>
    <t xml:space="preserve">Source correct = 1 if it names the right document (and section if shown). For out-of-scope questions, 1 only if it cites NO source.</t>
  </si>
  <si>
    <t xml:space="preserve">Refusal correct = 1 if it refused when it should (out-of-scope) AND did not refuse when the answer was in the documents.</t>
  </si>
  <si>
    <t xml:space="preserve">Pass = all three are 1. Vague questions: a good clarifying question or safe pointer to the right document counts as correct.</t>
  </si>
  <si>
    <t xml:space="preserve">Colour legend</t>
  </si>
  <si>
    <t xml:space="preserve">Blue text on yellow = you type here.  Black = formula.  Green = pulled from another sheet.</t>
  </si>
  <si>
    <t xml:space="preserve">Rule: only quote numbers that came from a scored run in this file. Empty cells are not zeros.</t>
  </si>
  <si>
    <t xml:space="preserve">ID</t>
  </si>
  <si>
    <t xml:space="preserve">Category</t>
  </si>
  <si>
    <t xml:space="preserve">Question</t>
  </si>
  <si>
    <t xml:space="preserve">Expected answer</t>
  </si>
  <si>
    <t xml:space="preserve">Expected source(s)</t>
  </si>
  <si>
    <t xml:space="preserve">Should refuse?</t>
  </si>
  <si>
    <t xml:space="preserve">Q01</t>
  </si>
  <si>
    <t xml:space="preserve">direct</t>
  </si>
  <si>
    <t xml:space="preserve">What is the brake inspection interval for a tractor unit?</t>
  </si>
  <si>
    <t xml:space="preserve">Every 6 weeks or every 10,000 km, whichever comes first.</t>
  </si>
  <si>
    <t xml:space="preserve">DOC-02 s2</t>
  </si>
  <si>
    <t xml:space="preserve">No</t>
  </si>
  <si>
    <t xml:space="preserve">Q02</t>
  </si>
  <si>
    <t xml:space="preserve">What do I do if I find a hydraulic leak?</t>
  </si>
  <si>
    <t xml:space="preserve">Stop in a safe place, lower raised parts, shut off the engine, let pressure bleed off, classify the leak (A weep, B drip, C running/spraying), contain it, and report it under the defect procedure. Never check with your hand.</t>
  </si>
  <si>
    <t xml:space="preserve">DOC-05 s3; DOC-05 s4</t>
  </si>
  <si>
    <t xml:space="preserve">Q03</t>
  </si>
  <si>
    <t xml:space="preserve">How often should I change the engine oil on a tractor unit?</t>
  </si>
  <si>
    <t xml:space="preserve">Every 25,000 km or every 12 months, whichever comes first.</t>
  </si>
  <si>
    <t xml:space="preserve">DOC-03 s2</t>
  </si>
  <si>
    <t xml:space="preserve">Q04</t>
  </si>
  <si>
    <t xml:space="preserve">What is the minimum tread depth on steer tires?</t>
  </si>
  <si>
    <t xml:space="preserve">Replace steer tires at 3 mm (about 4/32 inch) or less.</t>
  </si>
  <si>
    <t xml:space="preserve">DOC-04 s3</t>
  </si>
  <si>
    <t xml:space="preserve">Q05</t>
  </si>
  <si>
    <t xml:space="preserve">In what order do I connect jumper cables?</t>
  </si>
  <si>
    <t xml:space="preserve">Red to dead battery positive, red to good battery positive, black to good battery negative, last black to unpainted metal on the dead vehicle away from the battery.</t>
  </si>
  <si>
    <t xml:space="preserve">DOC-06 s4</t>
  </si>
  <si>
    <t xml:space="preserve">Q06</t>
  </si>
  <si>
    <t xml:space="preserve">How fast should air pressure build up during the pre-trip air brake test?</t>
  </si>
  <si>
    <t xml:space="preserve">From 85 psi to 100 psi within 45 seconds with the engine at fast idle.</t>
  </si>
  <si>
    <t xml:space="preserve">DOC-01 s5</t>
  </si>
  <si>
    <t xml:space="preserve">Q07</t>
  </si>
  <si>
    <t xml:space="preserve">How long do I have to repair a Category 2 defect?</t>
  </si>
  <si>
    <t xml:space="preserve">Within 24 hours.</t>
  </si>
  <si>
    <t xml:space="preserve">DOC-07 s3</t>
  </si>
  <si>
    <t xml:space="preserve">Q08</t>
  </si>
  <si>
    <t xml:space="preserve">What coolant mix ratio do we use?</t>
  </si>
  <si>
    <t xml:space="preserve">50/50 approved extended-life coolant and distilled water.</t>
  </si>
  <si>
    <t xml:space="preserve">DOC-09 s3</t>
  </si>
  <si>
    <t xml:space="preserve">Q09</t>
  </si>
  <si>
    <t xml:space="preserve">When do I need to plug in the block heater?</t>
  </si>
  <si>
    <t xml:space="preserve">When it is below -10 C, plug in at least 2 hours before the planned start.</t>
  </si>
  <si>
    <t xml:space="preserve">DOC-08 s2</t>
  </si>
  <si>
    <t xml:space="preserve">Q10</t>
  </si>
  <si>
    <t xml:space="preserve">Can I work under a vehicle that is held up only by a jack?</t>
  </si>
  <si>
    <t xml:space="preserve">No. Support it on rated jack stands or a hoist with locks engaged.</t>
  </si>
  <si>
    <t xml:space="preserve">DOC-10 s2</t>
  </si>
  <si>
    <t xml:space="preserve">Q11</t>
  </si>
  <si>
    <t xml:space="preserve">multi_doc</t>
  </si>
  <si>
    <t xml:space="preserve">It is -20 C and my tractor will not start. What should I check?</t>
  </si>
  <si>
    <t xml:space="preserve">Block heater plugged in 2+ hours (DOC-08), fuel anti-gel / winter diesel (DOC-08), battery and safe jump-start order, never jump a frozen battery (DOC-06), and 5W-40 oil below -15 C (DOC-03/DOC-08).</t>
  </si>
  <si>
    <t xml:space="preserve">DOC-08 s2; DOC-08 s3; DOC-06 s4; DOC-06 s5</t>
  </si>
  <si>
    <t xml:space="preserve">Q12</t>
  </si>
  <si>
    <t xml:space="preserve">What is the allowed air leak-down rate, and what category of defect is a failed leak-down test?</t>
  </si>
  <si>
    <t xml:space="preserve">No more than 2 psi/min for a single vehicle and 3 psi/min for a combination; a failed test is a Category 1 defect.</t>
  </si>
  <si>
    <t xml:space="preserve">DOC-02 s5; DOC-07 s3</t>
  </si>
  <si>
    <t xml:space="preserve">Q13</t>
  </si>
  <si>
    <t xml:space="preserve">I found a hydraulic leak under the trailer during my pre-trip. Can I drive it, and how do I report it?</t>
  </si>
  <si>
    <t xml:space="preserve">Depends on class: Class C (running/spraying) is Category 1, do not move, tag out, call supervisor; Class B drip needs inspection by a mechanic before use. Report via the defect form and tell the supervisor.</t>
  </si>
  <si>
    <t xml:space="preserve">DOC-05 s4; DOC-07 s3; DOC-07 s4</t>
  </si>
  <si>
    <t xml:space="preserve">Q14</t>
  </si>
  <si>
    <t xml:space="preserve">How do I dispose of used oil and used coolant after a service?</t>
  </si>
  <si>
    <t xml:space="preserve">Used oil goes in the labelled used-oil drum, filters drain 12 hours then go in the used-filter bin; used coolant is hazardous waste and goes in the used-coolant drum. Never pour either on the ground or down a drain.</t>
  </si>
  <si>
    <t xml:space="preserve">DOC-03 s5; DOC-09 s7</t>
  </si>
  <si>
    <t xml:space="preserve">Q15</t>
  </si>
  <si>
    <t xml:space="preserve">vague</t>
  </si>
  <si>
    <t xml:space="preserve">My truck feels weird when I brake.</t>
  </si>
  <si>
    <t xml:space="preserve">Agent should ask a clarifying question or give safe general guidance: brake issues are safety-critical, report under the defect procedure, do not move the vehicle if Category 1, confirm with a supervisor. Must not diagnose.</t>
  </si>
  <si>
    <t xml:space="preserve">DOC-02 s7; DOC-07 s3</t>
  </si>
  <si>
    <t xml:space="preserve">Q16</t>
  </si>
  <si>
    <t xml:space="preserve">The tire looks off.</t>
  </si>
  <si>
    <t xml:space="preserve">Agent should ask what looks wrong or list the damage checks (cuts, bulges, exposed cord) and say exposed cord or bulges are Category 1; do not inflate a flat tire.</t>
  </si>
  <si>
    <t xml:space="preserve">DOC-04 s4</t>
  </si>
  <si>
    <t xml:space="preserve">Q17</t>
  </si>
  <si>
    <t xml:space="preserve">Something is leaking under the truck.</t>
  </si>
  <si>
    <t xml:space="preserve">Agent should ask which fluid, or point to hydraulic (DOC-05) and coolant (DOC-09) guidance and say to report any leak as a defect.</t>
  </si>
  <si>
    <t xml:space="preserve">DOC-01 s2; DOC-05 s3</t>
  </si>
  <si>
    <t xml:space="preserve">Q18</t>
  </si>
  <si>
    <t xml:space="preserve">out_of_scope</t>
  </si>
  <si>
    <t xml:space="preserve">How do I recharge the air conditioning in the cab?</t>
  </si>
  <si>
    <t xml:space="preserve">Not covered. Agent should say it does not have that information and log the question.</t>
  </si>
  <si>
    <t xml:space="preserve">none</t>
  </si>
  <si>
    <t xml:space="preserve">Yes</t>
  </si>
  <si>
    <t xml:space="preserve">Q19</t>
  </si>
  <si>
    <t xml:space="preserve">What is the torque specification for trailer axle wheel nuts?</t>
  </si>
  <si>
    <t xml:space="preserve">Not covered. Documents only say torque values come from the vehicle maker's manual. Agent should say it does not have the value and not invent one.</t>
  </si>
  <si>
    <t xml:space="preserve">Q20</t>
  </si>
  <si>
    <t xml:space="preserve">What is the procedure for replacing the diesel particulate filter?</t>
  </si>
  <si>
    <t xml:space="preserve">Results by run</t>
  </si>
  <si>
    <t xml:space="preserve">Type run names in the yellow cells. Percentages appear once a run has fully scored questions.</t>
  </si>
  <si>
    <t xml:space="preserve">Run name</t>
  </si>
  <si>
    <t xml:space="preserve">What changed</t>
  </si>
  <si>
    <t xml:space="preserve">Questions scored</t>
  </si>
  <si>
    <t xml:space="preserve">Answer correct</t>
  </si>
  <si>
    <t xml:space="preserve">Source correct</t>
  </si>
  <si>
    <t xml:space="preserve">Refusal correct</t>
  </si>
  <si>
    <t xml:space="preserve">Overall pass</t>
  </si>
  <si>
    <t xml:space="preserve">Baseline (Copilot v1)</t>
  </si>
  <si>
    <t xml:space="preserve">Instructions from agent-instructions-v1-baseline.md, unchanged</t>
  </si>
  <si>
    <t xml:space="preserve">Copilot v2</t>
  </si>
  <si>
    <t xml:space="preserve">Copilot v3</t>
  </si>
  <si>
    <t xml:space="preserve">Copilot v4</t>
  </si>
  <si>
    <t xml:space="preserve">Python prototype</t>
  </si>
  <si>
    <t xml:space="preserve">TF-IDF top 3 + Claude, python-prototype/</t>
  </si>
  <si>
    <t xml:space="preserve">Overall pass rate by question category</t>
  </si>
  <si>
    <t xml:space="preserve">Run</t>
  </si>
  <si>
    <t xml:space="preserve">Question ID</t>
  </si>
  <si>
    <t xml:space="preserve">Answer correct (1/0)</t>
  </si>
  <si>
    <t xml:space="preserve">Source correct (1/0)</t>
  </si>
  <si>
    <t xml:space="preserve">Refusal correct (1/0)</t>
  </si>
  <si>
    <t xml:space="preserve">Pass</t>
  </si>
  <si>
    <t xml:space="preserve">Notes (what the agent actually said)</t>
  </si>
  <si>
    <t xml:space="preserve">Version</t>
  </si>
  <si>
    <t xml:space="preserve">Date</t>
  </si>
  <si>
    <t xml:space="preserve">Change made (ONE change per version)</t>
  </si>
  <si>
    <t xml:space="preserve">Failures it targets (question IDs)</t>
  </si>
  <si>
    <t xml:space="preserve">Overall pass (from Summary)</t>
  </si>
  <si>
    <t xml:space="preserve">What happened / what I learned</t>
  </si>
  <si>
    <t xml:space="preserve">None. Baseline instructions as written in agent-instructions-v1-baseline.md.</t>
  </si>
  <si>
    <t xml:space="preserve">n/a</t>
  </si>
  <si>
    <t xml:space="preserve">EXAMPLE (delete this row)</t>
  </si>
  <si>
    <t xml:space="preserve">2026-10-14</t>
  </si>
  <si>
    <t xml:space="preserve">Added the exact refusal sentence and the rule 'never answer from general knowledge'.</t>
  </si>
  <si>
    <t xml:space="preserve">Q18, Q19, Q20</t>
  </si>
  <si>
    <t xml:space="preserve">Describe which questions changed, and whether anything got worse.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</si>
</sst>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1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1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23.85" hidden="false" customHeight="false" outlineLevel="0" collapsed="false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customFormat="false" ht="15" hidden="false" customHeight="false" outlineLevel="0" collapsed="false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</row>
    <row r="3" customFormat="false" ht="35.05" hidden="false" customHeight="false" outlineLevel="0" collapsed="false">
      <c r="A3" s="4" t="s">
        <v>27</v>
      </c>
      <c r="B3" s="4" t="s">
        <v>22</v>
      </c>
      <c r="C3" s="4" t="s">
        <v>28</v>
      </c>
      <c r="D3" s="4" t="s">
        <v>29</v>
      </c>
      <c r="E3" s="4" t="s">
        <v>30</v>
      </c>
      <c r="F3" s="4" t="s">
        <v>26</v>
      </c>
    </row>
    <row r="4" customFormat="false" ht="15" hidden="false" customHeight="false" outlineLevel="0" collapsed="false">
      <c r="A4" s="4" t="s">
        <v>31</v>
      </c>
      <c r="B4" s="4" t="s">
        <v>22</v>
      </c>
      <c r="C4" s="4" t="s">
        <v>32</v>
      </c>
      <c r="D4" s="4" t="s">
        <v>33</v>
      </c>
      <c r="E4" s="4" t="s">
        <v>34</v>
      </c>
      <c r="F4" s="4" t="s">
        <v>26</v>
      </c>
    </row>
    <row r="5" customFormat="false" ht="15" hidden="false" customHeight="false" outlineLevel="0" collapsed="false">
      <c r="A5" s="4" t="s">
        <v>35</v>
      </c>
      <c r="B5" s="4" t="s">
        <v>22</v>
      </c>
      <c r="C5" s="4" t="s">
        <v>36</v>
      </c>
      <c r="D5" s="4" t="s">
        <v>37</v>
      </c>
      <c r="E5" s="4" t="s">
        <v>38</v>
      </c>
      <c r="F5" s="4" t="s">
        <v>26</v>
      </c>
    </row>
    <row r="6" customFormat="false" ht="23.85" hidden="false" customHeight="false" outlineLevel="0" collapsed="false">
      <c r="A6" s="4" t="s">
        <v>39</v>
      </c>
      <c r="B6" s="4" t="s">
        <v>22</v>
      </c>
      <c r="C6" s="4" t="s">
        <v>40</v>
      </c>
      <c r="D6" s="4" t="s">
        <v>41</v>
      </c>
      <c r="E6" s="4" t="s">
        <v>42</v>
      </c>
      <c r="F6" s="4" t="s">
        <v>26</v>
      </c>
    </row>
    <row r="7" customFormat="false" ht="23.85" hidden="false" customHeight="false" outlineLevel="0" collapsed="false">
      <c r="A7" s="4" t="s">
        <v>43</v>
      </c>
      <c r="B7" s="4" t="s">
        <v>22</v>
      </c>
      <c r="C7" s="4" t="s">
        <v>44</v>
      </c>
      <c r="D7" s="4" t="s">
        <v>45</v>
      </c>
      <c r="E7" s="4" t="s">
        <v>46</v>
      </c>
      <c r="F7" s="4" t="s">
        <v>26</v>
      </c>
    </row>
    <row r="8" customFormat="false" ht="15" hidden="false" customHeight="false" outlineLevel="0" collapsed="false">
      <c r="A8" s="4" t="s">
        <v>47</v>
      </c>
      <c r="B8" s="4" t="s">
        <v>22</v>
      </c>
      <c r="C8" s="4" t="s">
        <v>48</v>
      </c>
      <c r="D8" s="4" t="s">
        <v>49</v>
      </c>
      <c r="E8" s="4" t="s">
        <v>50</v>
      </c>
      <c r="F8" s="4" t="s">
        <v>26</v>
      </c>
    </row>
    <row r="9" customFormat="false" ht="15" hidden="false" customHeight="false" outlineLevel="0" collapsed="false">
      <c r="A9" s="4" t="s">
        <v>51</v>
      </c>
      <c r="B9" s="4" t="s">
        <v>22</v>
      </c>
      <c r="C9" s="4" t="s">
        <v>52</v>
      </c>
      <c r="D9" s="4" t="s">
        <v>53</v>
      </c>
      <c r="E9" s="4" t="s">
        <v>54</v>
      </c>
      <c r="F9" s="4" t="s">
        <v>26</v>
      </c>
    </row>
    <row r="10" customFormat="false" ht="15" hidden="false" customHeight="false" outlineLevel="0" collapsed="false">
      <c r="A10" s="4" t="s">
        <v>55</v>
      </c>
      <c r="B10" s="4" t="s">
        <v>22</v>
      </c>
      <c r="C10" s="4" t="s">
        <v>56</v>
      </c>
      <c r="D10" s="4" t="s">
        <v>57</v>
      </c>
      <c r="E10" s="4" t="s">
        <v>58</v>
      </c>
      <c r="F10" s="4" t="s">
        <v>26</v>
      </c>
    </row>
    <row r="11" customFormat="false" ht="15" hidden="false" customHeight="false" outlineLevel="0" collapsed="false">
      <c r="A11" s="4" t="s">
        <v>59</v>
      </c>
      <c r="B11" s="4" t="s">
        <v>22</v>
      </c>
      <c r="C11" s="4" t="s">
        <v>60</v>
      </c>
      <c r="D11" s="4" t="s">
        <v>61</v>
      </c>
      <c r="E11" s="4" t="s">
        <v>62</v>
      </c>
      <c r="F11" s="4" t="s">
        <v>26</v>
      </c>
    </row>
    <row r="12" customFormat="false" ht="35.05" hidden="false" customHeight="false" outlineLevel="0" collapsed="false">
      <c r="A12" s="4" t="s">
        <v>63</v>
      </c>
      <c r="B12" s="4" t="s">
        <v>64</v>
      </c>
      <c r="C12" s="4" t="s">
        <v>65</v>
      </c>
      <c r="D12" s="4" t="s">
        <v>66</v>
      </c>
      <c r="E12" s="4" t="s">
        <v>67</v>
      </c>
      <c r="F12" s="4" t="s">
        <v>26</v>
      </c>
    </row>
    <row r="13" customFormat="false" ht="23.85" hidden="false" customHeight="false" outlineLevel="0" collapsed="false">
      <c r="A13" s="4" t="s">
        <v>68</v>
      </c>
      <c r="B13" s="4" t="s">
        <v>64</v>
      </c>
      <c r="C13" s="4" t="s">
        <v>69</v>
      </c>
      <c r="D13" s="4" t="s">
        <v>70</v>
      </c>
      <c r="E13" s="4" t="s">
        <v>71</v>
      </c>
      <c r="F13" s="4" t="s">
        <v>26</v>
      </c>
    </row>
    <row r="14" customFormat="false" ht="35.05" hidden="false" customHeight="false" outlineLevel="0" collapsed="false">
      <c r="A14" s="4" t="s">
        <v>72</v>
      </c>
      <c r="B14" s="4" t="s">
        <v>64</v>
      </c>
      <c r="C14" s="4" t="s">
        <v>73</v>
      </c>
      <c r="D14" s="4" t="s">
        <v>74</v>
      </c>
      <c r="E14" s="4" t="s">
        <v>75</v>
      </c>
      <c r="F14" s="4" t="s">
        <v>26</v>
      </c>
    </row>
    <row r="15" customFormat="false" ht="35.05" hidden="false" customHeight="false" outlineLevel="0" collapsed="false">
      <c r="A15" s="4" t="s">
        <v>76</v>
      </c>
      <c r="B15" s="4" t="s">
        <v>64</v>
      </c>
      <c r="C15" s="4" t="s">
        <v>77</v>
      </c>
      <c r="D15" s="4" t="s">
        <v>78</v>
      </c>
      <c r="E15" s="4" t="s">
        <v>79</v>
      </c>
      <c r="F15" s="4" t="s">
        <v>26</v>
      </c>
    </row>
    <row r="16" customFormat="false" ht="35.05" hidden="false" customHeight="false" outlineLevel="0" collapsed="false">
      <c r="A16" s="4" t="s">
        <v>80</v>
      </c>
      <c r="B16" s="4" t="s">
        <v>81</v>
      </c>
      <c r="C16" s="4" t="s">
        <v>82</v>
      </c>
      <c r="D16" s="4" t="s">
        <v>83</v>
      </c>
      <c r="E16" s="4" t="s">
        <v>84</v>
      </c>
      <c r="F16" s="4" t="s">
        <v>26</v>
      </c>
    </row>
    <row r="17" customFormat="false" ht="23.85" hidden="false" customHeight="false" outlineLevel="0" collapsed="false">
      <c r="A17" s="4" t="s">
        <v>85</v>
      </c>
      <c r="B17" s="4" t="s">
        <v>81</v>
      </c>
      <c r="C17" s="4" t="s">
        <v>86</v>
      </c>
      <c r="D17" s="4" t="s">
        <v>87</v>
      </c>
      <c r="E17" s="4" t="s">
        <v>88</v>
      </c>
      <c r="F17" s="4" t="s">
        <v>26</v>
      </c>
    </row>
    <row r="18" customFormat="false" ht="23.85" hidden="false" customHeight="false" outlineLevel="0" collapsed="false">
      <c r="A18" s="4" t="s">
        <v>89</v>
      </c>
      <c r="B18" s="4" t="s">
        <v>81</v>
      </c>
      <c r="C18" s="4" t="s">
        <v>90</v>
      </c>
      <c r="D18" s="4" t="s">
        <v>91</v>
      </c>
      <c r="E18" s="4" t="s">
        <v>92</v>
      </c>
      <c r="F18" s="4" t="s">
        <v>26</v>
      </c>
    </row>
    <row r="19" customFormat="false" ht="15" hidden="false" customHeight="false" outlineLevel="0" collapsed="false">
      <c r="A19" s="4" t="s">
        <v>93</v>
      </c>
      <c r="B19" s="4" t="s">
        <v>94</v>
      </c>
      <c r="C19" s="4" t="s">
        <v>95</v>
      </c>
      <c r="D19" s="4" t="s">
        <v>96</v>
      </c>
      <c r="E19" s="4" t="s">
        <v>97</v>
      </c>
      <c r="F19" s="4" t="s">
        <v>98</v>
      </c>
    </row>
    <row r="20" customFormat="false" ht="23.85" hidden="false" customHeight="false" outlineLevel="0" collapsed="false">
      <c r="A20" s="4" t="s">
        <v>99</v>
      </c>
      <c r="B20" s="4" t="s">
        <v>94</v>
      </c>
      <c r="C20" s="4" t="s">
        <v>100</v>
      </c>
      <c r="D20" s="4" t="s">
        <v>101</v>
      </c>
      <c r="E20" s="4" t="s">
        <v>97</v>
      </c>
      <c r="F20" s="4" t="s">
        <v>98</v>
      </c>
    </row>
    <row r="21" customFormat="false" ht="23.85" hidden="false" customHeight="false" outlineLevel="0" collapsed="false">
      <c r="A21" s="4" t="s">
        <v>102</v>
      </c>
      <c r="B21" s="4" t="s">
        <v>94</v>
      </c>
      <c r="C21" s="4" t="s">
        <v>103</v>
      </c>
      <c r="D21" s="4" t="s">
        <v>96</v>
      </c>
      <c r="E21" s="4" t="s">
        <v>97</v>
      </c>
      <c r="F21" s="4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7" min="3" style="0" width="16"/>
  </cols>
  <sheetData>
    <row r="1" customFormat="false" ht="15" hidden="false" customHeight="false" outlineLevel="0" collapsed="false">
      <c r="A1" s="5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3" t="s">
        <v>106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  <c r="G4" s="3" t="s">
        <v>112</v>
      </c>
    </row>
    <row r="5" customFormat="false" ht="15" hidden="false" customHeight="false" outlineLevel="0" collapsed="false">
      <c r="A5" s="6" t="s">
        <v>113</v>
      </c>
      <c r="B5" s="6" t="s">
        <v>114</v>
      </c>
      <c r="C5" s="7" t="n">
        <f aca="false">COUNTIFS(Runs!$A$2:$A$101,$A5,Runs!$G$2:$G$101,"&gt;=0")</f>
        <v>0</v>
      </c>
      <c r="D5" s="8" t="str">
        <f aca="false">IF($C5=0,"",COUNTIFS(Runs!$A$2:$A$101,$A5,Runs!$D$2:$D$101,1)/$C5)</f>
        <v/>
      </c>
      <c r="E5" s="8" t="str">
        <f aca="false">IF($C5=0,"",COUNTIFS(Runs!$A$2:$A$101,$A5,Runs!$E$2:$E$101,1)/$C5)</f>
        <v/>
      </c>
      <c r="F5" s="8" t="str">
        <f aca="false">IF($C5=0,"",COUNTIFS(Runs!$A$2:$A$101,$A5,Runs!$F$2:$F$101,1)/$C5)</f>
        <v/>
      </c>
      <c r="G5" s="8" t="str">
        <f aca="false">IF($C5=0,"",COUNTIFS(Runs!$A$2:$A$101,$A5,Runs!$G$2:$G$101,1)/$C5)</f>
        <v/>
      </c>
    </row>
    <row r="6" customFormat="false" ht="15" hidden="false" customHeight="false" outlineLevel="0" collapsed="false">
      <c r="A6" s="6" t="s">
        <v>115</v>
      </c>
      <c r="B6" s="6"/>
      <c r="C6" s="7" t="n">
        <f aca="false">COUNTIFS(Runs!$A$2:$A$101,$A6,Runs!$G$2:$G$101,"&gt;=0")</f>
        <v>0</v>
      </c>
      <c r="D6" s="8" t="str">
        <f aca="false">IF($C6=0,"",COUNTIFS(Runs!$A$2:$A$101,$A6,Runs!$D$2:$D$101,1)/$C6)</f>
        <v/>
      </c>
      <c r="E6" s="8" t="str">
        <f aca="false">IF($C6=0,"",COUNTIFS(Runs!$A$2:$A$101,$A6,Runs!$E$2:$E$101,1)/$C6)</f>
        <v/>
      </c>
      <c r="F6" s="8" t="str">
        <f aca="false">IF($C6=0,"",COUNTIFS(Runs!$A$2:$A$101,$A6,Runs!$F$2:$F$101,1)/$C6)</f>
        <v/>
      </c>
      <c r="G6" s="8" t="str">
        <f aca="false">IF($C6=0,"",COUNTIFS(Runs!$A$2:$A$101,$A6,Runs!$G$2:$G$101,1)/$C6)</f>
        <v/>
      </c>
    </row>
    <row r="7" customFormat="false" ht="15" hidden="false" customHeight="false" outlineLevel="0" collapsed="false">
      <c r="A7" s="6" t="s">
        <v>116</v>
      </c>
      <c r="B7" s="6"/>
      <c r="C7" s="7" t="n">
        <f aca="false">COUNTIFS(Runs!$A$2:$A$101,$A7,Runs!$G$2:$G$101,"&gt;=0")</f>
        <v>0</v>
      </c>
      <c r="D7" s="8" t="str">
        <f aca="false">IF($C7=0,"",COUNTIFS(Runs!$A$2:$A$101,$A7,Runs!$D$2:$D$101,1)/$C7)</f>
        <v/>
      </c>
      <c r="E7" s="8" t="str">
        <f aca="false">IF($C7=0,"",COUNTIFS(Runs!$A$2:$A$101,$A7,Runs!$E$2:$E$101,1)/$C7)</f>
        <v/>
      </c>
      <c r="F7" s="8" t="str">
        <f aca="false">IF($C7=0,"",COUNTIFS(Runs!$A$2:$A$101,$A7,Runs!$F$2:$F$101,1)/$C7)</f>
        <v/>
      </c>
      <c r="G7" s="8" t="str">
        <f aca="false">IF($C7=0,"",COUNTIFS(Runs!$A$2:$A$101,$A7,Runs!$G$2:$G$101,1)/$C7)</f>
        <v/>
      </c>
    </row>
    <row r="8" customFormat="false" ht="15" hidden="false" customHeight="false" outlineLevel="0" collapsed="false">
      <c r="A8" s="6" t="s">
        <v>117</v>
      </c>
      <c r="B8" s="6"/>
      <c r="C8" s="7" t="n">
        <f aca="false">COUNTIFS(Runs!$A$2:$A$101,$A8,Runs!$G$2:$G$101,"&gt;=0")</f>
        <v>0</v>
      </c>
      <c r="D8" s="8" t="str">
        <f aca="false">IF($C8=0,"",COUNTIFS(Runs!$A$2:$A$101,$A8,Runs!$D$2:$D$101,1)/$C8)</f>
        <v/>
      </c>
      <c r="E8" s="8" t="str">
        <f aca="false">IF($C8=0,"",COUNTIFS(Runs!$A$2:$A$101,$A8,Runs!$E$2:$E$101,1)/$C8)</f>
        <v/>
      </c>
      <c r="F8" s="8" t="str">
        <f aca="false">IF($C8=0,"",COUNTIFS(Runs!$A$2:$A$101,$A8,Runs!$F$2:$F$101,1)/$C8)</f>
        <v/>
      </c>
      <c r="G8" s="8" t="str">
        <f aca="false">IF($C8=0,"",COUNTIFS(Runs!$A$2:$A$101,$A8,Runs!$G$2:$G$101,1)/$C8)</f>
        <v/>
      </c>
    </row>
    <row r="9" customFormat="false" ht="15" hidden="false" customHeight="false" outlineLevel="0" collapsed="false">
      <c r="A9" s="6" t="s">
        <v>118</v>
      </c>
      <c r="B9" s="6" t="s">
        <v>119</v>
      </c>
      <c r="C9" s="7" t="n">
        <f aca="false">COUNTIFS(Runs!$A$2:$A$101,$A9,Runs!$G$2:$G$101,"&gt;=0")</f>
        <v>0</v>
      </c>
      <c r="D9" s="8" t="str">
        <f aca="false">IF($C9=0,"",COUNTIFS(Runs!$A$2:$A$101,$A9,Runs!$D$2:$D$101,1)/$C9)</f>
        <v/>
      </c>
      <c r="E9" s="8" t="str">
        <f aca="false">IF($C9=0,"",COUNTIFS(Runs!$A$2:$A$101,$A9,Runs!$E$2:$E$101,1)/$C9)</f>
        <v/>
      </c>
      <c r="F9" s="8" t="str">
        <f aca="false">IF($C9=0,"",COUNTIFS(Runs!$A$2:$A$101,$A9,Runs!$F$2:$F$101,1)/$C9)</f>
        <v/>
      </c>
      <c r="G9" s="8" t="str">
        <f aca="false">IF($C9=0,"",COUNTIFS(Runs!$A$2:$A$101,$A9,Runs!$G$2:$G$101,1)/$C9)</f>
        <v/>
      </c>
    </row>
    <row r="11" customFormat="false" ht="15" hidden="false" customHeight="false" outlineLevel="0" collapsed="false">
      <c r="A11" s="1" t="s">
        <v>120</v>
      </c>
    </row>
    <row r="12" customFormat="false" ht="15" hidden="false" customHeight="false" outlineLevel="0" collapsed="false">
      <c r="A12" s="3" t="s">
        <v>106</v>
      </c>
      <c r="B12" s="3" t="s">
        <v>22</v>
      </c>
      <c r="C12" s="3" t="s">
        <v>64</v>
      </c>
      <c r="D12" s="3" t="s">
        <v>81</v>
      </c>
      <c r="E12" s="3" t="s">
        <v>94</v>
      </c>
    </row>
    <row r="13" customFormat="false" ht="15" hidden="false" customHeight="false" outlineLevel="0" collapsed="false">
      <c r="A13" s="4" t="str">
        <f aca="false">$A5</f>
        <v>Baseline (Copilot v1)</v>
      </c>
      <c r="B13" s="8" t="str">
        <f aca="false">IF(COUNTIFS(Runs!$A$2:$A$101,$A13,Runs!$C$2:$C$101,B$12,Runs!$G$2:$G$101,"&gt;=0")=0,"",COUNTIFS(Runs!$A$2:$A$101,$A13,Runs!$C$2:$C$101,B$12,Runs!$G$2:$G$101,1)/COUNTIFS(Runs!$A$2:$A$101,$A13,Runs!$C$2:$C$101,B$12,Runs!$G$2:$G$101,"&gt;=0"))</f>
        <v/>
      </c>
      <c r="C13" s="8" t="str">
        <f aca="false">IF(COUNTIFS(Runs!$A$2:$A$101,$A13,Runs!$C$2:$C$101,C$12,Runs!$G$2:$G$101,"&gt;=0")=0,"",COUNTIFS(Runs!$A$2:$A$101,$A13,Runs!$C$2:$C$101,C$12,Runs!$G$2:$G$101,1)/COUNTIFS(Runs!$A$2:$A$101,$A13,Runs!$C$2:$C$101,C$12,Runs!$G$2:$G$101,"&gt;=0"))</f>
        <v/>
      </c>
      <c r="D13" s="8" t="str">
        <f aca="false">IF(COUNTIFS(Runs!$A$2:$A$101,$A13,Runs!$C$2:$C$101,D$12,Runs!$G$2:$G$101,"&gt;=0")=0,"",COUNTIFS(Runs!$A$2:$A$101,$A13,Runs!$C$2:$C$101,D$12,Runs!$G$2:$G$101,1)/COUNTIFS(Runs!$A$2:$A$101,$A13,Runs!$C$2:$C$101,D$12,Runs!$G$2:$G$101,"&gt;=0"))</f>
        <v/>
      </c>
      <c r="E13" s="8" t="str">
        <f aca="false">IF(COUNTIFS(Runs!$A$2:$A$101,$A13,Runs!$C$2:$C$101,E$12,Runs!$G$2:$G$101,"&gt;=0")=0,"",COUNTIFS(Runs!$A$2:$A$101,$A13,Runs!$C$2:$C$101,E$12,Runs!$G$2:$G$101,1)/COUNTIFS(Runs!$A$2:$A$101,$A13,Runs!$C$2:$C$101,E$12,Runs!$G$2:$G$101,"&gt;=0"))</f>
        <v/>
      </c>
    </row>
    <row r="14" customFormat="false" ht="15" hidden="false" customHeight="false" outlineLevel="0" collapsed="false">
      <c r="A14" s="4" t="str">
        <f aca="false">$A6</f>
        <v>Copilot v2</v>
      </c>
      <c r="B14" s="8" t="str">
        <f aca="false">IF(COUNTIFS(Runs!$A$2:$A$101,$A14,Runs!$C$2:$C$101,B$12,Runs!$G$2:$G$101,"&gt;=0")=0,"",COUNTIFS(Runs!$A$2:$A$101,$A14,Runs!$C$2:$C$101,B$12,Runs!$G$2:$G$101,1)/COUNTIFS(Runs!$A$2:$A$101,$A14,Runs!$C$2:$C$101,B$12,Runs!$G$2:$G$101,"&gt;=0"))</f>
        <v/>
      </c>
      <c r="C14" s="8" t="str">
        <f aca="false">IF(COUNTIFS(Runs!$A$2:$A$101,$A14,Runs!$C$2:$C$101,C$12,Runs!$G$2:$G$101,"&gt;=0")=0,"",COUNTIFS(Runs!$A$2:$A$101,$A14,Runs!$C$2:$C$101,C$12,Runs!$G$2:$G$101,1)/COUNTIFS(Runs!$A$2:$A$101,$A14,Runs!$C$2:$C$101,C$12,Runs!$G$2:$G$101,"&gt;=0"))</f>
        <v/>
      </c>
      <c r="D14" s="8" t="str">
        <f aca="false">IF(COUNTIFS(Runs!$A$2:$A$101,$A14,Runs!$C$2:$C$101,D$12,Runs!$G$2:$G$101,"&gt;=0")=0,"",COUNTIFS(Runs!$A$2:$A$101,$A14,Runs!$C$2:$C$101,D$12,Runs!$G$2:$G$101,1)/COUNTIFS(Runs!$A$2:$A$101,$A14,Runs!$C$2:$C$101,D$12,Runs!$G$2:$G$101,"&gt;=0"))</f>
        <v/>
      </c>
      <c r="E14" s="8" t="str">
        <f aca="false">IF(COUNTIFS(Runs!$A$2:$A$101,$A14,Runs!$C$2:$C$101,E$12,Runs!$G$2:$G$101,"&gt;=0")=0,"",COUNTIFS(Runs!$A$2:$A$101,$A14,Runs!$C$2:$C$101,E$12,Runs!$G$2:$G$101,1)/COUNTIFS(Runs!$A$2:$A$101,$A14,Runs!$C$2:$C$101,E$12,Runs!$G$2:$G$101,"&gt;=0"))</f>
        <v/>
      </c>
    </row>
    <row r="15" customFormat="false" ht="15" hidden="false" customHeight="false" outlineLevel="0" collapsed="false">
      <c r="A15" s="4" t="str">
        <f aca="false">$A7</f>
        <v>Copilot v3</v>
      </c>
      <c r="B15" s="8" t="str">
        <f aca="false">IF(COUNTIFS(Runs!$A$2:$A$101,$A15,Runs!$C$2:$C$101,B$12,Runs!$G$2:$G$101,"&gt;=0")=0,"",COUNTIFS(Runs!$A$2:$A$101,$A15,Runs!$C$2:$C$101,B$12,Runs!$G$2:$G$101,1)/COUNTIFS(Runs!$A$2:$A$101,$A15,Runs!$C$2:$C$101,B$12,Runs!$G$2:$G$101,"&gt;=0"))</f>
        <v/>
      </c>
      <c r="C15" s="8" t="str">
        <f aca="false">IF(COUNTIFS(Runs!$A$2:$A$101,$A15,Runs!$C$2:$C$101,C$12,Runs!$G$2:$G$101,"&gt;=0")=0,"",COUNTIFS(Runs!$A$2:$A$101,$A15,Runs!$C$2:$C$101,C$12,Runs!$G$2:$G$101,1)/COUNTIFS(Runs!$A$2:$A$101,$A15,Runs!$C$2:$C$101,C$12,Runs!$G$2:$G$101,"&gt;=0"))</f>
        <v/>
      </c>
      <c r="D15" s="8" t="str">
        <f aca="false">IF(COUNTIFS(Runs!$A$2:$A$101,$A15,Runs!$C$2:$C$101,D$12,Runs!$G$2:$G$101,"&gt;=0")=0,"",COUNTIFS(Runs!$A$2:$A$101,$A15,Runs!$C$2:$C$101,D$12,Runs!$G$2:$G$101,1)/COUNTIFS(Runs!$A$2:$A$101,$A15,Runs!$C$2:$C$101,D$12,Runs!$G$2:$G$101,"&gt;=0"))</f>
        <v/>
      </c>
      <c r="E15" s="8" t="str">
        <f aca="false">IF(COUNTIFS(Runs!$A$2:$A$101,$A15,Runs!$C$2:$C$101,E$12,Runs!$G$2:$G$101,"&gt;=0")=0,"",COUNTIFS(Runs!$A$2:$A$101,$A15,Runs!$C$2:$C$101,E$12,Runs!$G$2:$G$101,1)/COUNTIFS(Runs!$A$2:$A$101,$A15,Runs!$C$2:$C$101,E$12,Runs!$G$2:$G$101,"&gt;=0"))</f>
        <v/>
      </c>
    </row>
    <row r="16" customFormat="false" ht="15" hidden="false" customHeight="false" outlineLevel="0" collapsed="false">
      <c r="A16" s="4" t="str">
        <f aca="false">$A8</f>
        <v>Copilot v4</v>
      </c>
      <c r="B16" s="8" t="str">
        <f aca="false">IF(COUNTIFS(Runs!$A$2:$A$101,$A16,Runs!$C$2:$C$101,B$12,Runs!$G$2:$G$101,"&gt;=0")=0,"",COUNTIFS(Runs!$A$2:$A$101,$A16,Runs!$C$2:$C$101,B$12,Runs!$G$2:$G$101,1)/COUNTIFS(Runs!$A$2:$A$101,$A16,Runs!$C$2:$C$101,B$12,Runs!$G$2:$G$101,"&gt;=0"))</f>
        <v/>
      </c>
      <c r="C16" s="8" t="str">
        <f aca="false">IF(COUNTIFS(Runs!$A$2:$A$101,$A16,Runs!$C$2:$C$101,C$12,Runs!$G$2:$G$101,"&gt;=0")=0,"",COUNTIFS(Runs!$A$2:$A$101,$A16,Runs!$C$2:$C$101,C$12,Runs!$G$2:$G$101,1)/COUNTIFS(Runs!$A$2:$A$101,$A16,Runs!$C$2:$C$101,C$12,Runs!$G$2:$G$101,"&gt;=0"))</f>
        <v/>
      </c>
      <c r="D16" s="8" t="str">
        <f aca="false">IF(COUNTIFS(Runs!$A$2:$A$101,$A16,Runs!$C$2:$C$101,D$12,Runs!$G$2:$G$101,"&gt;=0")=0,"",COUNTIFS(Runs!$A$2:$A$101,$A16,Runs!$C$2:$C$101,D$12,Runs!$G$2:$G$101,1)/COUNTIFS(Runs!$A$2:$A$101,$A16,Runs!$C$2:$C$101,D$12,Runs!$G$2:$G$101,"&gt;=0"))</f>
        <v/>
      </c>
      <c r="E16" s="8" t="str">
        <f aca="false">IF(COUNTIFS(Runs!$A$2:$A$101,$A16,Runs!$C$2:$C$101,E$12,Runs!$G$2:$G$101,"&gt;=0")=0,"",COUNTIFS(Runs!$A$2:$A$101,$A16,Runs!$C$2:$C$101,E$12,Runs!$G$2:$G$101,1)/COUNTIFS(Runs!$A$2:$A$101,$A16,Runs!$C$2:$C$101,E$12,Runs!$G$2:$G$101,"&gt;=0"))</f>
        <v/>
      </c>
    </row>
    <row r="17" customFormat="false" ht="15" hidden="false" customHeight="false" outlineLevel="0" collapsed="false">
      <c r="A17" s="4" t="str">
        <f aca="false">$A9</f>
        <v>Python prototype</v>
      </c>
      <c r="B17" s="8" t="str">
        <f aca="false">IF(COUNTIFS(Runs!$A$2:$A$101,$A17,Runs!$C$2:$C$101,B$12,Runs!$G$2:$G$101,"&gt;=0")=0,"",COUNTIFS(Runs!$A$2:$A$101,$A17,Runs!$C$2:$C$101,B$12,Runs!$G$2:$G$101,1)/COUNTIFS(Runs!$A$2:$A$101,$A17,Runs!$C$2:$C$101,B$12,Runs!$G$2:$G$101,"&gt;=0"))</f>
        <v/>
      </c>
      <c r="C17" s="8" t="str">
        <f aca="false">IF(COUNTIFS(Runs!$A$2:$A$101,$A17,Runs!$C$2:$C$101,C$12,Runs!$G$2:$G$101,"&gt;=0")=0,"",COUNTIFS(Runs!$A$2:$A$101,$A17,Runs!$C$2:$C$101,C$12,Runs!$G$2:$G$101,1)/COUNTIFS(Runs!$A$2:$A$101,$A17,Runs!$C$2:$C$101,C$12,Runs!$G$2:$G$101,"&gt;=0"))</f>
        <v/>
      </c>
      <c r="D17" s="8" t="str">
        <f aca="false">IF(COUNTIFS(Runs!$A$2:$A$101,$A17,Runs!$C$2:$C$101,D$12,Runs!$G$2:$G$101,"&gt;=0")=0,"",COUNTIFS(Runs!$A$2:$A$101,$A17,Runs!$C$2:$C$101,D$12,Runs!$G$2:$G$101,1)/COUNTIFS(Runs!$A$2:$A$101,$A17,Runs!$C$2:$C$101,D$12,Runs!$G$2:$G$101,"&gt;=0"))</f>
        <v/>
      </c>
      <c r="E17" s="8" t="str">
        <f aca="false">IF(COUNTIFS(Runs!$A$2:$A$101,$A17,Runs!$C$2:$C$101,E$12,Runs!$G$2:$G$101,"&gt;=0")=0,"",COUNTIFS(Runs!$A$2:$A$101,$A17,Runs!$C$2:$C$101,E$12,Runs!$G$2:$G$101,1)/COUNTIFS(Runs!$A$2:$A$101,$A17,Runs!$C$2:$C$101,E$12,Runs!$G$2:$G$101,"&gt;=0"))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6" min="3" style="0" width="14"/>
    <col collapsed="false" customWidth="true" hidden="false" outlineLevel="0" max="7" min="7" style="0" width="8"/>
    <col collapsed="false" customWidth="true" hidden="false" outlineLevel="0" max="8" min="8" style="0" width="60"/>
  </cols>
  <sheetData>
    <row r="1" customFormat="false" ht="23.85" hidden="false" customHeight="false" outlineLevel="0" collapsed="false">
      <c r="A1" s="3" t="s">
        <v>121</v>
      </c>
      <c r="B1" s="3" t="s">
        <v>122</v>
      </c>
      <c r="C1" s="3" t="s">
        <v>16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127</v>
      </c>
    </row>
    <row r="2" customFormat="false" ht="15" hidden="false" customHeight="false" outlineLevel="0" collapsed="false">
      <c r="A2" s="9" t="str">
        <f aca="false">Summary!$A$5</f>
        <v>Baseline (Copilot v1)</v>
      </c>
      <c r="B2" s="4" t="s">
        <v>21</v>
      </c>
      <c r="C2" s="9" t="str">
        <f aca="false">INDEX(Questions!$B$2:$B$21,MATCH($B2,Questions!$A$2:$A$21,0))</f>
        <v>direct</v>
      </c>
      <c r="D2" s="10"/>
      <c r="E2" s="10"/>
      <c r="F2" s="10"/>
      <c r="G2" s="11" t="str">
        <f aca="false">IF(COUNT(D2:F2)=3,IF(MIN(D2:F2)=1,1,0),"")</f>
        <v/>
      </c>
      <c r="H2" s="6"/>
    </row>
    <row r="3" customFormat="false" ht="15" hidden="false" customHeight="false" outlineLevel="0" collapsed="false">
      <c r="A3" s="9" t="str">
        <f aca="false">Summary!$A$5</f>
        <v>Baseline (Copilot v1)</v>
      </c>
      <c r="B3" s="4" t="s">
        <v>27</v>
      </c>
      <c r="C3" s="9" t="str">
        <f aca="false">INDEX(Questions!$B$2:$B$21,MATCH($B3,Questions!$A$2:$A$21,0))</f>
        <v>direct</v>
      </c>
      <c r="D3" s="10"/>
      <c r="E3" s="10"/>
      <c r="F3" s="10"/>
      <c r="G3" s="11" t="str">
        <f aca="false">IF(COUNT(D3:F3)=3,IF(MIN(D3:F3)=1,1,0),"")</f>
        <v/>
      </c>
      <c r="H3" s="6"/>
    </row>
    <row r="4" customFormat="false" ht="15" hidden="false" customHeight="false" outlineLevel="0" collapsed="false">
      <c r="A4" s="9" t="str">
        <f aca="false">Summary!$A$5</f>
        <v>Baseline (Copilot v1)</v>
      </c>
      <c r="B4" s="4" t="s">
        <v>31</v>
      </c>
      <c r="C4" s="9" t="str">
        <f aca="false">INDEX(Questions!$B$2:$B$21,MATCH($B4,Questions!$A$2:$A$21,0))</f>
        <v>direct</v>
      </c>
      <c r="D4" s="10"/>
      <c r="E4" s="10"/>
      <c r="F4" s="10"/>
      <c r="G4" s="11" t="str">
        <f aca="false">IF(COUNT(D4:F4)=3,IF(MIN(D4:F4)=1,1,0),"")</f>
        <v/>
      </c>
      <c r="H4" s="6"/>
    </row>
    <row r="5" customFormat="false" ht="15" hidden="false" customHeight="false" outlineLevel="0" collapsed="false">
      <c r="A5" s="9" t="str">
        <f aca="false">Summary!$A$5</f>
        <v>Baseline (Copilot v1)</v>
      </c>
      <c r="B5" s="4" t="s">
        <v>35</v>
      </c>
      <c r="C5" s="9" t="str">
        <f aca="false">INDEX(Questions!$B$2:$B$21,MATCH($B5,Questions!$A$2:$A$21,0))</f>
        <v>direct</v>
      </c>
      <c r="D5" s="10"/>
      <c r="E5" s="10"/>
      <c r="F5" s="10"/>
      <c r="G5" s="11" t="str">
        <f aca="false">IF(COUNT(D5:F5)=3,IF(MIN(D5:F5)=1,1,0),"")</f>
        <v/>
      </c>
      <c r="H5" s="6"/>
    </row>
    <row r="6" customFormat="false" ht="15" hidden="false" customHeight="false" outlineLevel="0" collapsed="false">
      <c r="A6" s="9" t="str">
        <f aca="false">Summary!$A$5</f>
        <v>Baseline (Copilot v1)</v>
      </c>
      <c r="B6" s="4" t="s">
        <v>39</v>
      </c>
      <c r="C6" s="9" t="str">
        <f aca="false">INDEX(Questions!$B$2:$B$21,MATCH($B6,Questions!$A$2:$A$21,0))</f>
        <v>direct</v>
      </c>
      <c r="D6" s="10"/>
      <c r="E6" s="10"/>
      <c r="F6" s="10"/>
      <c r="G6" s="11" t="str">
        <f aca="false">IF(COUNT(D6:F6)=3,IF(MIN(D6:F6)=1,1,0),"")</f>
        <v/>
      </c>
      <c r="H6" s="6"/>
    </row>
    <row r="7" customFormat="false" ht="15" hidden="false" customHeight="false" outlineLevel="0" collapsed="false">
      <c r="A7" s="9" t="str">
        <f aca="false">Summary!$A$5</f>
        <v>Baseline (Copilot v1)</v>
      </c>
      <c r="B7" s="4" t="s">
        <v>43</v>
      </c>
      <c r="C7" s="9" t="str">
        <f aca="false">INDEX(Questions!$B$2:$B$21,MATCH($B7,Questions!$A$2:$A$21,0))</f>
        <v>direct</v>
      </c>
      <c r="D7" s="10"/>
      <c r="E7" s="10"/>
      <c r="F7" s="10"/>
      <c r="G7" s="11" t="str">
        <f aca="false">IF(COUNT(D7:F7)=3,IF(MIN(D7:F7)=1,1,0),"")</f>
        <v/>
      </c>
      <c r="H7" s="6"/>
    </row>
    <row r="8" customFormat="false" ht="15" hidden="false" customHeight="false" outlineLevel="0" collapsed="false">
      <c r="A8" s="9" t="str">
        <f aca="false">Summary!$A$5</f>
        <v>Baseline (Copilot v1)</v>
      </c>
      <c r="B8" s="4" t="s">
        <v>47</v>
      </c>
      <c r="C8" s="9" t="str">
        <f aca="false">INDEX(Questions!$B$2:$B$21,MATCH($B8,Questions!$A$2:$A$21,0))</f>
        <v>direct</v>
      </c>
      <c r="D8" s="10"/>
      <c r="E8" s="10"/>
      <c r="F8" s="10"/>
      <c r="G8" s="11" t="str">
        <f aca="false">IF(COUNT(D8:F8)=3,IF(MIN(D8:F8)=1,1,0),"")</f>
        <v/>
      </c>
      <c r="H8" s="6"/>
    </row>
    <row r="9" customFormat="false" ht="15" hidden="false" customHeight="false" outlineLevel="0" collapsed="false">
      <c r="A9" s="9" t="str">
        <f aca="false">Summary!$A$5</f>
        <v>Baseline (Copilot v1)</v>
      </c>
      <c r="B9" s="4" t="s">
        <v>51</v>
      </c>
      <c r="C9" s="9" t="str">
        <f aca="false">INDEX(Questions!$B$2:$B$21,MATCH($B9,Questions!$A$2:$A$21,0))</f>
        <v>direct</v>
      </c>
      <c r="D9" s="10"/>
      <c r="E9" s="10"/>
      <c r="F9" s="10"/>
      <c r="G9" s="11" t="str">
        <f aca="false">IF(COUNT(D9:F9)=3,IF(MIN(D9:F9)=1,1,0),"")</f>
        <v/>
      </c>
      <c r="H9" s="6"/>
    </row>
    <row r="10" customFormat="false" ht="15" hidden="false" customHeight="false" outlineLevel="0" collapsed="false">
      <c r="A10" s="9" t="str">
        <f aca="false">Summary!$A$5</f>
        <v>Baseline (Copilot v1)</v>
      </c>
      <c r="B10" s="4" t="s">
        <v>55</v>
      </c>
      <c r="C10" s="9" t="str">
        <f aca="false">INDEX(Questions!$B$2:$B$21,MATCH($B10,Questions!$A$2:$A$21,0))</f>
        <v>direct</v>
      </c>
      <c r="D10" s="10"/>
      <c r="E10" s="10"/>
      <c r="F10" s="10"/>
      <c r="G10" s="11" t="str">
        <f aca="false">IF(COUNT(D10:F10)=3,IF(MIN(D10:F10)=1,1,0),"")</f>
        <v/>
      </c>
      <c r="H10" s="6"/>
    </row>
    <row r="11" customFormat="false" ht="15" hidden="false" customHeight="false" outlineLevel="0" collapsed="false">
      <c r="A11" s="9" t="str">
        <f aca="false">Summary!$A$5</f>
        <v>Baseline (Copilot v1)</v>
      </c>
      <c r="B11" s="4" t="s">
        <v>59</v>
      </c>
      <c r="C11" s="9" t="str">
        <f aca="false">INDEX(Questions!$B$2:$B$21,MATCH($B11,Questions!$A$2:$A$21,0))</f>
        <v>direct</v>
      </c>
      <c r="D11" s="10"/>
      <c r="E11" s="10"/>
      <c r="F11" s="10"/>
      <c r="G11" s="11" t="str">
        <f aca="false">IF(COUNT(D11:F11)=3,IF(MIN(D11:F11)=1,1,0),"")</f>
        <v/>
      </c>
      <c r="H11" s="6"/>
    </row>
    <row r="12" customFormat="false" ht="15" hidden="false" customHeight="false" outlineLevel="0" collapsed="false">
      <c r="A12" s="9" t="str">
        <f aca="false">Summary!$A$5</f>
        <v>Baseline (Copilot v1)</v>
      </c>
      <c r="B12" s="4" t="s">
        <v>63</v>
      </c>
      <c r="C12" s="9" t="str">
        <f aca="false">INDEX(Questions!$B$2:$B$21,MATCH($B12,Questions!$A$2:$A$21,0))</f>
        <v>multi_doc</v>
      </c>
      <c r="D12" s="10"/>
      <c r="E12" s="10"/>
      <c r="F12" s="10"/>
      <c r="G12" s="11" t="str">
        <f aca="false">IF(COUNT(D12:F12)=3,IF(MIN(D12:F12)=1,1,0),"")</f>
        <v/>
      </c>
      <c r="H12" s="6"/>
    </row>
    <row r="13" customFormat="false" ht="15" hidden="false" customHeight="false" outlineLevel="0" collapsed="false">
      <c r="A13" s="9" t="str">
        <f aca="false">Summary!$A$5</f>
        <v>Baseline (Copilot v1)</v>
      </c>
      <c r="B13" s="4" t="s">
        <v>68</v>
      </c>
      <c r="C13" s="9" t="str">
        <f aca="false">INDEX(Questions!$B$2:$B$21,MATCH($B13,Questions!$A$2:$A$21,0))</f>
        <v>multi_doc</v>
      </c>
      <c r="D13" s="10"/>
      <c r="E13" s="10"/>
      <c r="F13" s="10"/>
      <c r="G13" s="11" t="str">
        <f aca="false">IF(COUNT(D13:F13)=3,IF(MIN(D13:F13)=1,1,0),"")</f>
        <v/>
      </c>
      <c r="H13" s="6"/>
    </row>
    <row r="14" customFormat="false" ht="15" hidden="false" customHeight="false" outlineLevel="0" collapsed="false">
      <c r="A14" s="9" t="str">
        <f aca="false">Summary!$A$5</f>
        <v>Baseline (Copilot v1)</v>
      </c>
      <c r="B14" s="4" t="s">
        <v>72</v>
      </c>
      <c r="C14" s="9" t="str">
        <f aca="false">INDEX(Questions!$B$2:$B$21,MATCH($B14,Questions!$A$2:$A$21,0))</f>
        <v>multi_doc</v>
      </c>
      <c r="D14" s="10"/>
      <c r="E14" s="10"/>
      <c r="F14" s="10"/>
      <c r="G14" s="11" t="str">
        <f aca="false">IF(COUNT(D14:F14)=3,IF(MIN(D14:F14)=1,1,0),"")</f>
        <v/>
      </c>
      <c r="H14" s="6"/>
    </row>
    <row r="15" customFormat="false" ht="15" hidden="false" customHeight="false" outlineLevel="0" collapsed="false">
      <c r="A15" s="9" t="str">
        <f aca="false">Summary!$A$5</f>
        <v>Baseline (Copilot v1)</v>
      </c>
      <c r="B15" s="4" t="s">
        <v>76</v>
      </c>
      <c r="C15" s="9" t="str">
        <f aca="false">INDEX(Questions!$B$2:$B$21,MATCH($B15,Questions!$A$2:$A$21,0))</f>
        <v>multi_doc</v>
      </c>
      <c r="D15" s="10"/>
      <c r="E15" s="10"/>
      <c r="F15" s="10"/>
      <c r="G15" s="11" t="str">
        <f aca="false">IF(COUNT(D15:F15)=3,IF(MIN(D15:F15)=1,1,0),"")</f>
        <v/>
      </c>
      <c r="H15" s="6"/>
    </row>
    <row r="16" customFormat="false" ht="15" hidden="false" customHeight="false" outlineLevel="0" collapsed="false">
      <c r="A16" s="9" t="str">
        <f aca="false">Summary!$A$5</f>
        <v>Baseline (Copilot v1)</v>
      </c>
      <c r="B16" s="4" t="s">
        <v>80</v>
      </c>
      <c r="C16" s="9" t="str">
        <f aca="false">INDEX(Questions!$B$2:$B$21,MATCH($B16,Questions!$A$2:$A$21,0))</f>
        <v>vague</v>
      </c>
      <c r="D16" s="10"/>
      <c r="E16" s="10"/>
      <c r="F16" s="10"/>
      <c r="G16" s="11" t="str">
        <f aca="false">IF(COUNT(D16:F16)=3,IF(MIN(D16:F16)=1,1,0),"")</f>
        <v/>
      </c>
      <c r="H16" s="6"/>
    </row>
    <row r="17" customFormat="false" ht="15" hidden="false" customHeight="false" outlineLevel="0" collapsed="false">
      <c r="A17" s="9" t="str">
        <f aca="false">Summary!$A$5</f>
        <v>Baseline (Copilot v1)</v>
      </c>
      <c r="B17" s="4" t="s">
        <v>85</v>
      </c>
      <c r="C17" s="9" t="str">
        <f aca="false">INDEX(Questions!$B$2:$B$21,MATCH($B17,Questions!$A$2:$A$21,0))</f>
        <v>vague</v>
      </c>
      <c r="D17" s="10"/>
      <c r="E17" s="10"/>
      <c r="F17" s="10"/>
      <c r="G17" s="11" t="str">
        <f aca="false">IF(COUNT(D17:F17)=3,IF(MIN(D17:F17)=1,1,0),"")</f>
        <v/>
      </c>
      <c r="H17" s="6"/>
    </row>
    <row r="18" customFormat="false" ht="15" hidden="false" customHeight="false" outlineLevel="0" collapsed="false">
      <c r="A18" s="9" t="str">
        <f aca="false">Summary!$A$5</f>
        <v>Baseline (Copilot v1)</v>
      </c>
      <c r="B18" s="4" t="s">
        <v>89</v>
      </c>
      <c r="C18" s="9" t="str">
        <f aca="false">INDEX(Questions!$B$2:$B$21,MATCH($B18,Questions!$A$2:$A$21,0))</f>
        <v>vague</v>
      </c>
      <c r="D18" s="10"/>
      <c r="E18" s="10"/>
      <c r="F18" s="10"/>
      <c r="G18" s="11" t="str">
        <f aca="false">IF(COUNT(D18:F18)=3,IF(MIN(D18:F18)=1,1,0),"")</f>
        <v/>
      </c>
      <c r="H18" s="6"/>
    </row>
    <row r="19" customFormat="false" ht="15" hidden="false" customHeight="false" outlineLevel="0" collapsed="false">
      <c r="A19" s="9" t="str">
        <f aca="false">Summary!$A$5</f>
        <v>Baseline (Copilot v1)</v>
      </c>
      <c r="B19" s="4" t="s">
        <v>93</v>
      </c>
      <c r="C19" s="9" t="str">
        <f aca="false">INDEX(Questions!$B$2:$B$21,MATCH($B19,Questions!$A$2:$A$21,0))</f>
        <v>out_of_scope</v>
      </c>
      <c r="D19" s="10"/>
      <c r="E19" s="10"/>
      <c r="F19" s="10"/>
      <c r="G19" s="11" t="str">
        <f aca="false">IF(COUNT(D19:F19)=3,IF(MIN(D19:F19)=1,1,0),"")</f>
        <v/>
      </c>
      <c r="H19" s="6"/>
    </row>
    <row r="20" customFormat="false" ht="15" hidden="false" customHeight="false" outlineLevel="0" collapsed="false">
      <c r="A20" s="9" t="str">
        <f aca="false">Summary!$A$5</f>
        <v>Baseline (Copilot v1)</v>
      </c>
      <c r="B20" s="4" t="s">
        <v>99</v>
      </c>
      <c r="C20" s="9" t="str">
        <f aca="false">INDEX(Questions!$B$2:$B$21,MATCH($B20,Questions!$A$2:$A$21,0))</f>
        <v>out_of_scope</v>
      </c>
      <c r="D20" s="10"/>
      <c r="E20" s="10"/>
      <c r="F20" s="10"/>
      <c r="G20" s="11" t="str">
        <f aca="false">IF(COUNT(D20:F20)=3,IF(MIN(D20:F20)=1,1,0),"")</f>
        <v/>
      </c>
      <c r="H20" s="6"/>
    </row>
    <row r="21" customFormat="false" ht="15" hidden="false" customHeight="false" outlineLevel="0" collapsed="false">
      <c r="A21" s="9" t="str">
        <f aca="false">Summary!$A$5</f>
        <v>Baseline (Copilot v1)</v>
      </c>
      <c r="B21" s="4" t="s">
        <v>102</v>
      </c>
      <c r="C21" s="9" t="str">
        <f aca="false">INDEX(Questions!$B$2:$B$21,MATCH($B21,Questions!$A$2:$A$21,0))</f>
        <v>out_of_scope</v>
      </c>
      <c r="D21" s="10"/>
      <c r="E21" s="10"/>
      <c r="F21" s="10"/>
      <c r="G21" s="11" t="str">
        <f aca="false">IF(COUNT(D21:F21)=3,IF(MIN(D21:F21)=1,1,0),"")</f>
        <v/>
      </c>
      <c r="H21" s="6"/>
    </row>
    <row r="22" customFormat="false" ht="15" hidden="false" customHeight="false" outlineLevel="0" collapsed="false">
      <c r="A22" s="9" t="str">
        <f aca="false">Summary!$A$6</f>
        <v>Copilot v2</v>
      </c>
      <c r="B22" s="4" t="s">
        <v>21</v>
      </c>
      <c r="C22" s="9" t="str">
        <f aca="false">INDEX(Questions!$B$2:$B$21,MATCH($B22,Questions!$A$2:$A$21,0))</f>
        <v>direct</v>
      </c>
      <c r="D22" s="10"/>
      <c r="E22" s="10"/>
      <c r="F22" s="10"/>
      <c r="G22" s="11" t="str">
        <f aca="false">IF(COUNT(D22:F22)=3,IF(MIN(D22:F22)=1,1,0),"")</f>
        <v/>
      </c>
      <c r="H22" s="6"/>
    </row>
    <row r="23" customFormat="false" ht="15" hidden="false" customHeight="false" outlineLevel="0" collapsed="false">
      <c r="A23" s="9" t="str">
        <f aca="false">Summary!$A$6</f>
        <v>Copilot v2</v>
      </c>
      <c r="B23" s="4" t="s">
        <v>27</v>
      </c>
      <c r="C23" s="9" t="str">
        <f aca="false">INDEX(Questions!$B$2:$B$21,MATCH($B23,Questions!$A$2:$A$21,0))</f>
        <v>direct</v>
      </c>
      <c r="D23" s="10"/>
      <c r="E23" s="10"/>
      <c r="F23" s="10"/>
      <c r="G23" s="11" t="str">
        <f aca="false">IF(COUNT(D23:F23)=3,IF(MIN(D23:F23)=1,1,0),"")</f>
        <v/>
      </c>
      <c r="H23" s="6"/>
    </row>
    <row r="24" customFormat="false" ht="15" hidden="false" customHeight="false" outlineLevel="0" collapsed="false">
      <c r="A24" s="9" t="str">
        <f aca="false">Summary!$A$6</f>
        <v>Copilot v2</v>
      </c>
      <c r="B24" s="4" t="s">
        <v>31</v>
      </c>
      <c r="C24" s="9" t="str">
        <f aca="false">INDEX(Questions!$B$2:$B$21,MATCH($B24,Questions!$A$2:$A$21,0))</f>
        <v>direct</v>
      </c>
      <c r="D24" s="10"/>
      <c r="E24" s="10"/>
      <c r="F24" s="10"/>
      <c r="G24" s="11" t="str">
        <f aca="false">IF(COUNT(D24:F24)=3,IF(MIN(D24:F24)=1,1,0),"")</f>
        <v/>
      </c>
      <c r="H24" s="6"/>
    </row>
    <row r="25" customFormat="false" ht="15" hidden="false" customHeight="false" outlineLevel="0" collapsed="false">
      <c r="A25" s="9" t="str">
        <f aca="false">Summary!$A$6</f>
        <v>Copilot v2</v>
      </c>
      <c r="B25" s="4" t="s">
        <v>35</v>
      </c>
      <c r="C25" s="9" t="str">
        <f aca="false">INDEX(Questions!$B$2:$B$21,MATCH($B25,Questions!$A$2:$A$21,0))</f>
        <v>direct</v>
      </c>
      <c r="D25" s="10"/>
      <c r="E25" s="10"/>
      <c r="F25" s="10"/>
      <c r="G25" s="11" t="str">
        <f aca="false">IF(COUNT(D25:F25)=3,IF(MIN(D25:F25)=1,1,0),"")</f>
        <v/>
      </c>
      <c r="H25" s="6"/>
    </row>
    <row r="26" customFormat="false" ht="15" hidden="false" customHeight="false" outlineLevel="0" collapsed="false">
      <c r="A26" s="9" t="str">
        <f aca="false">Summary!$A$6</f>
        <v>Copilot v2</v>
      </c>
      <c r="B26" s="4" t="s">
        <v>39</v>
      </c>
      <c r="C26" s="9" t="str">
        <f aca="false">INDEX(Questions!$B$2:$B$21,MATCH($B26,Questions!$A$2:$A$21,0))</f>
        <v>direct</v>
      </c>
      <c r="D26" s="10"/>
      <c r="E26" s="10"/>
      <c r="F26" s="10"/>
      <c r="G26" s="11" t="str">
        <f aca="false">IF(COUNT(D26:F26)=3,IF(MIN(D26:F26)=1,1,0),"")</f>
        <v/>
      </c>
      <c r="H26" s="6"/>
    </row>
    <row r="27" customFormat="false" ht="15" hidden="false" customHeight="false" outlineLevel="0" collapsed="false">
      <c r="A27" s="9" t="str">
        <f aca="false">Summary!$A$6</f>
        <v>Copilot v2</v>
      </c>
      <c r="B27" s="4" t="s">
        <v>43</v>
      </c>
      <c r="C27" s="9" t="str">
        <f aca="false">INDEX(Questions!$B$2:$B$21,MATCH($B27,Questions!$A$2:$A$21,0))</f>
        <v>direct</v>
      </c>
      <c r="D27" s="10"/>
      <c r="E27" s="10"/>
      <c r="F27" s="10"/>
      <c r="G27" s="11" t="str">
        <f aca="false">IF(COUNT(D27:F27)=3,IF(MIN(D27:F27)=1,1,0),"")</f>
        <v/>
      </c>
      <c r="H27" s="6"/>
    </row>
    <row r="28" customFormat="false" ht="15" hidden="false" customHeight="false" outlineLevel="0" collapsed="false">
      <c r="A28" s="9" t="str">
        <f aca="false">Summary!$A$6</f>
        <v>Copilot v2</v>
      </c>
      <c r="B28" s="4" t="s">
        <v>47</v>
      </c>
      <c r="C28" s="9" t="str">
        <f aca="false">INDEX(Questions!$B$2:$B$21,MATCH($B28,Questions!$A$2:$A$21,0))</f>
        <v>direct</v>
      </c>
      <c r="D28" s="10"/>
      <c r="E28" s="10"/>
      <c r="F28" s="10"/>
      <c r="G28" s="11" t="str">
        <f aca="false">IF(COUNT(D28:F28)=3,IF(MIN(D28:F28)=1,1,0),"")</f>
        <v/>
      </c>
      <c r="H28" s="6"/>
    </row>
    <row r="29" customFormat="false" ht="15" hidden="false" customHeight="false" outlineLevel="0" collapsed="false">
      <c r="A29" s="9" t="str">
        <f aca="false">Summary!$A$6</f>
        <v>Copilot v2</v>
      </c>
      <c r="B29" s="4" t="s">
        <v>51</v>
      </c>
      <c r="C29" s="9" t="str">
        <f aca="false">INDEX(Questions!$B$2:$B$21,MATCH($B29,Questions!$A$2:$A$21,0))</f>
        <v>direct</v>
      </c>
      <c r="D29" s="10"/>
      <c r="E29" s="10"/>
      <c r="F29" s="10"/>
      <c r="G29" s="11" t="str">
        <f aca="false">IF(COUNT(D29:F29)=3,IF(MIN(D29:F29)=1,1,0),"")</f>
        <v/>
      </c>
      <c r="H29" s="6"/>
    </row>
    <row r="30" customFormat="false" ht="15" hidden="false" customHeight="false" outlineLevel="0" collapsed="false">
      <c r="A30" s="9" t="str">
        <f aca="false">Summary!$A$6</f>
        <v>Copilot v2</v>
      </c>
      <c r="B30" s="4" t="s">
        <v>55</v>
      </c>
      <c r="C30" s="9" t="str">
        <f aca="false">INDEX(Questions!$B$2:$B$21,MATCH($B30,Questions!$A$2:$A$21,0))</f>
        <v>direct</v>
      </c>
      <c r="D30" s="10"/>
      <c r="E30" s="10"/>
      <c r="F30" s="10"/>
      <c r="G30" s="11" t="str">
        <f aca="false">IF(COUNT(D30:F30)=3,IF(MIN(D30:F30)=1,1,0),"")</f>
        <v/>
      </c>
      <c r="H30" s="6"/>
    </row>
    <row r="31" customFormat="false" ht="15" hidden="false" customHeight="false" outlineLevel="0" collapsed="false">
      <c r="A31" s="9" t="str">
        <f aca="false">Summary!$A$6</f>
        <v>Copilot v2</v>
      </c>
      <c r="B31" s="4" t="s">
        <v>59</v>
      </c>
      <c r="C31" s="9" t="str">
        <f aca="false">INDEX(Questions!$B$2:$B$21,MATCH($B31,Questions!$A$2:$A$21,0))</f>
        <v>direct</v>
      </c>
      <c r="D31" s="10"/>
      <c r="E31" s="10"/>
      <c r="F31" s="10"/>
      <c r="G31" s="11" t="str">
        <f aca="false">IF(COUNT(D31:F31)=3,IF(MIN(D31:F31)=1,1,0),"")</f>
        <v/>
      </c>
      <c r="H31" s="6"/>
    </row>
    <row r="32" customFormat="false" ht="15" hidden="false" customHeight="false" outlineLevel="0" collapsed="false">
      <c r="A32" s="9" t="str">
        <f aca="false">Summary!$A$6</f>
        <v>Copilot v2</v>
      </c>
      <c r="B32" s="4" t="s">
        <v>63</v>
      </c>
      <c r="C32" s="9" t="str">
        <f aca="false">INDEX(Questions!$B$2:$B$21,MATCH($B32,Questions!$A$2:$A$21,0))</f>
        <v>multi_doc</v>
      </c>
      <c r="D32" s="10"/>
      <c r="E32" s="10"/>
      <c r="F32" s="10"/>
      <c r="G32" s="11" t="str">
        <f aca="false">IF(COUNT(D32:F32)=3,IF(MIN(D32:F32)=1,1,0),"")</f>
        <v/>
      </c>
      <c r="H32" s="6"/>
    </row>
    <row r="33" customFormat="false" ht="15" hidden="false" customHeight="false" outlineLevel="0" collapsed="false">
      <c r="A33" s="9" t="str">
        <f aca="false">Summary!$A$6</f>
        <v>Copilot v2</v>
      </c>
      <c r="B33" s="4" t="s">
        <v>68</v>
      </c>
      <c r="C33" s="9" t="str">
        <f aca="false">INDEX(Questions!$B$2:$B$21,MATCH($B33,Questions!$A$2:$A$21,0))</f>
        <v>multi_doc</v>
      </c>
      <c r="D33" s="10"/>
      <c r="E33" s="10"/>
      <c r="F33" s="10"/>
      <c r="G33" s="11" t="str">
        <f aca="false">IF(COUNT(D33:F33)=3,IF(MIN(D33:F33)=1,1,0),"")</f>
        <v/>
      </c>
      <c r="H33" s="6"/>
    </row>
    <row r="34" customFormat="false" ht="15" hidden="false" customHeight="false" outlineLevel="0" collapsed="false">
      <c r="A34" s="9" t="str">
        <f aca="false">Summary!$A$6</f>
        <v>Copilot v2</v>
      </c>
      <c r="B34" s="4" t="s">
        <v>72</v>
      </c>
      <c r="C34" s="9" t="str">
        <f aca="false">INDEX(Questions!$B$2:$B$21,MATCH($B34,Questions!$A$2:$A$21,0))</f>
        <v>multi_doc</v>
      </c>
      <c r="D34" s="10"/>
      <c r="E34" s="10"/>
      <c r="F34" s="10"/>
      <c r="G34" s="11" t="str">
        <f aca="false">IF(COUNT(D34:F34)=3,IF(MIN(D34:F34)=1,1,0),"")</f>
        <v/>
      </c>
      <c r="H34" s="6"/>
    </row>
    <row r="35" customFormat="false" ht="15" hidden="false" customHeight="false" outlineLevel="0" collapsed="false">
      <c r="A35" s="9" t="str">
        <f aca="false">Summary!$A$6</f>
        <v>Copilot v2</v>
      </c>
      <c r="B35" s="4" t="s">
        <v>76</v>
      </c>
      <c r="C35" s="9" t="str">
        <f aca="false">INDEX(Questions!$B$2:$B$21,MATCH($B35,Questions!$A$2:$A$21,0))</f>
        <v>multi_doc</v>
      </c>
      <c r="D35" s="10"/>
      <c r="E35" s="10"/>
      <c r="F35" s="10"/>
      <c r="G35" s="11" t="str">
        <f aca="false">IF(COUNT(D35:F35)=3,IF(MIN(D35:F35)=1,1,0),"")</f>
        <v/>
      </c>
      <c r="H35" s="6"/>
    </row>
    <row r="36" customFormat="false" ht="15" hidden="false" customHeight="false" outlineLevel="0" collapsed="false">
      <c r="A36" s="9" t="str">
        <f aca="false">Summary!$A$6</f>
        <v>Copilot v2</v>
      </c>
      <c r="B36" s="4" t="s">
        <v>80</v>
      </c>
      <c r="C36" s="9" t="str">
        <f aca="false">INDEX(Questions!$B$2:$B$21,MATCH($B36,Questions!$A$2:$A$21,0))</f>
        <v>vague</v>
      </c>
      <c r="D36" s="10"/>
      <c r="E36" s="10"/>
      <c r="F36" s="10"/>
      <c r="G36" s="11" t="str">
        <f aca="false">IF(COUNT(D36:F36)=3,IF(MIN(D36:F36)=1,1,0),"")</f>
        <v/>
      </c>
      <c r="H36" s="6"/>
    </row>
    <row r="37" customFormat="false" ht="15" hidden="false" customHeight="false" outlineLevel="0" collapsed="false">
      <c r="A37" s="9" t="str">
        <f aca="false">Summary!$A$6</f>
        <v>Copilot v2</v>
      </c>
      <c r="B37" s="4" t="s">
        <v>85</v>
      </c>
      <c r="C37" s="9" t="str">
        <f aca="false">INDEX(Questions!$B$2:$B$21,MATCH($B37,Questions!$A$2:$A$21,0))</f>
        <v>vague</v>
      </c>
      <c r="D37" s="10"/>
      <c r="E37" s="10"/>
      <c r="F37" s="10"/>
      <c r="G37" s="11" t="str">
        <f aca="false">IF(COUNT(D37:F37)=3,IF(MIN(D37:F37)=1,1,0),"")</f>
        <v/>
      </c>
      <c r="H37" s="6"/>
    </row>
    <row r="38" customFormat="false" ht="15" hidden="false" customHeight="false" outlineLevel="0" collapsed="false">
      <c r="A38" s="9" t="str">
        <f aca="false">Summary!$A$6</f>
        <v>Copilot v2</v>
      </c>
      <c r="B38" s="4" t="s">
        <v>89</v>
      </c>
      <c r="C38" s="9" t="str">
        <f aca="false">INDEX(Questions!$B$2:$B$21,MATCH($B38,Questions!$A$2:$A$21,0))</f>
        <v>vague</v>
      </c>
      <c r="D38" s="10"/>
      <c r="E38" s="10"/>
      <c r="F38" s="10"/>
      <c r="G38" s="11" t="str">
        <f aca="false">IF(COUNT(D38:F38)=3,IF(MIN(D38:F38)=1,1,0),"")</f>
        <v/>
      </c>
      <c r="H38" s="6"/>
    </row>
    <row r="39" customFormat="false" ht="15" hidden="false" customHeight="false" outlineLevel="0" collapsed="false">
      <c r="A39" s="9" t="str">
        <f aca="false">Summary!$A$6</f>
        <v>Copilot v2</v>
      </c>
      <c r="B39" s="4" t="s">
        <v>93</v>
      </c>
      <c r="C39" s="9" t="str">
        <f aca="false">INDEX(Questions!$B$2:$B$21,MATCH($B39,Questions!$A$2:$A$21,0))</f>
        <v>out_of_scope</v>
      </c>
      <c r="D39" s="10"/>
      <c r="E39" s="10"/>
      <c r="F39" s="10"/>
      <c r="G39" s="11" t="str">
        <f aca="false">IF(COUNT(D39:F39)=3,IF(MIN(D39:F39)=1,1,0),"")</f>
        <v/>
      </c>
      <c r="H39" s="6"/>
    </row>
    <row r="40" customFormat="false" ht="15" hidden="false" customHeight="false" outlineLevel="0" collapsed="false">
      <c r="A40" s="9" t="str">
        <f aca="false">Summary!$A$6</f>
        <v>Copilot v2</v>
      </c>
      <c r="B40" s="4" t="s">
        <v>99</v>
      </c>
      <c r="C40" s="9" t="str">
        <f aca="false">INDEX(Questions!$B$2:$B$21,MATCH($B40,Questions!$A$2:$A$21,0))</f>
        <v>out_of_scope</v>
      </c>
      <c r="D40" s="10"/>
      <c r="E40" s="10"/>
      <c r="F40" s="10"/>
      <c r="G40" s="11" t="str">
        <f aca="false">IF(COUNT(D40:F40)=3,IF(MIN(D40:F40)=1,1,0),"")</f>
        <v/>
      </c>
      <c r="H40" s="6"/>
    </row>
    <row r="41" customFormat="false" ht="15" hidden="false" customHeight="false" outlineLevel="0" collapsed="false">
      <c r="A41" s="9" t="str">
        <f aca="false">Summary!$A$6</f>
        <v>Copilot v2</v>
      </c>
      <c r="B41" s="4" t="s">
        <v>102</v>
      </c>
      <c r="C41" s="9" t="str">
        <f aca="false">INDEX(Questions!$B$2:$B$21,MATCH($B41,Questions!$A$2:$A$21,0))</f>
        <v>out_of_scope</v>
      </c>
      <c r="D41" s="10"/>
      <c r="E41" s="10"/>
      <c r="F41" s="10"/>
      <c r="G41" s="11" t="str">
        <f aca="false">IF(COUNT(D41:F41)=3,IF(MIN(D41:F41)=1,1,0),"")</f>
        <v/>
      </c>
      <c r="H41" s="6"/>
    </row>
    <row r="42" customFormat="false" ht="15" hidden="false" customHeight="false" outlineLevel="0" collapsed="false">
      <c r="A42" s="9" t="str">
        <f aca="false">Summary!$A$7</f>
        <v>Copilot v3</v>
      </c>
      <c r="B42" s="4" t="s">
        <v>21</v>
      </c>
      <c r="C42" s="9" t="str">
        <f aca="false">INDEX(Questions!$B$2:$B$21,MATCH($B42,Questions!$A$2:$A$21,0))</f>
        <v>direct</v>
      </c>
      <c r="D42" s="10"/>
      <c r="E42" s="10"/>
      <c r="F42" s="10"/>
      <c r="G42" s="11" t="str">
        <f aca="false">IF(COUNT(D42:F42)=3,IF(MIN(D42:F42)=1,1,0),"")</f>
        <v/>
      </c>
      <c r="H42" s="6"/>
    </row>
    <row r="43" customFormat="false" ht="15" hidden="false" customHeight="false" outlineLevel="0" collapsed="false">
      <c r="A43" s="9" t="str">
        <f aca="false">Summary!$A$7</f>
        <v>Copilot v3</v>
      </c>
      <c r="B43" s="4" t="s">
        <v>27</v>
      </c>
      <c r="C43" s="9" t="str">
        <f aca="false">INDEX(Questions!$B$2:$B$21,MATCH($B43,Questions!$A$2:$A$21,0))</f>
        <v>direct</v>
      </c>
      <c r="D43" s="10"/>
      <c r="E43" s="10"/>
      <c r="F43" s="10"/>
      <c r="G43" s="11" t="str">
        <f aca="false">IF(COUNT(D43:F43)=3,IF(MIN(D43:F43)=1,1,0),"")</f>
        <v/>
      </c>
      <c r="H43" s="6"/>
    </row>
    <row r="44" customFormat="false" ht="15" hidden="false" customHeight="false" outlineLevel="0" collapsed="false">
      <c r="A44" s="9" t="str">
        <f aca="false">Summary!$A$7</f>
        <v>Copilot v3</v>
      </c>
      <c r="B44" s="4" t="s">
        <v>31</v>
      </c>
      <c r="C44" s="9" t="str">
        <f aca="false">INDEX(Questions!$B$2:$B$21,MATCH($B44,Questions!$A$2:$A$21,0))</f>
        <v>direct</v>
      </c>
      <c r="D44" s="10"/>
      <c r="E44" s="10"/>
      <c r="F44" s="10"/>
      <c r="G44" s="11" t="str">
        <f aca="false">IF(COUNT(D44:F44)=3,IF(MIN(D44:F44)=1,1,0),"")</f>
        <v/>
      </c>
      <c r="H44" s="6"/>
    </row>
    <row r="45" customFormat="false" ht="15" hidden="false" customHeight="false" outlineLevel="0" collapsed="false">
      <c r="A45" s="9" t="str">
        <f aca="false">Summary!$A$7</f>
        <v>Copilot v3</v>
      </c>
      <c r="B45" s="4" t="s">
        <v>35</v>
      </c>
      <c r="C45" s="9" t="str">
        <f aca="false">INDEX(Questions!$B$2:$B$21,MATCH($B45,Questions!$A$2:$A$21,0))</f>
        <v>direct</v>
      </c>
      <c r="D45" s="10"/>
      <c r="E45" s="10"/>
      <c r="F45" s="10"/>
      <c r="G45" s="11" t="str">
        <f aca="false">IF(COUNT(D45:F45)=3,IF(MIN(D45:F45)=1,1,0),"")</f>
        <v/>
      </c>
      <c r="H45" s="6"/>
    </row>
    <row r="46" customFormat="false" ht="15" hidden="false" customHeight="false" outlineLevel="0" collapsed="false">
      <c r="A46" s="9" t="str">
        <f aca="false">Summary!$A$7</f>
        <v>Copilot v3</v>
      </c>
      <c r="B46" s="4" t="s">
        <v>39</v>
      </c>
      <c r="C46" s="9" t="str">
        <f aca="false">INDEX(Questions!$B$2:$B$21,MATCH($B46,Questions!$A$2:$A$21,0))</f>
        <v>direct</v>
      </c>
      <c r="D46" s="10"/>
      <c r="E46" s="10"/>
      <c r="F46" s="10"/>
      <c r="G46" s="11" t="str">
        <f aca="false">IF(COUNT(D46:F46)=3,IF(MIN(D46:F46)=1,1,0),"")</f>
        <v/>
      </c>
      <c r="H46" s="6"/>
    </row>
    <row r="47" customFormat="false" ht="15" hidden="false" customHeight="false" outlineLevel="0" collapsed="false">
      <c r="A47" s="9" t="str">
        <f aca="false">Summary!$A$7</f>
        <v>Copilot v3</v>
      </c>
      <c r="B47" s="4" t="s">
        <v>43</v>
      </c>
      <c r="C47" s="9" t="str">
        <f aca="false">INDEX(Questions!$B$2:$B$21,MATCH($B47,Questions!$A$2:$A$21,0))</f>
        <v>direct</v>
      </c>
      <c r="D47" s="10"/>
      <c r="E47" s="10"/>
      <c r="F47" s="10"/>
      <c r="G47" s="11" t="str">
        <f aca="false">IF(COUNT(D47:F47)=3,IF(MIN(D47:F47)=1,1,0),"")</f>
        <v/>
      </c>
      <c r="H47" s="6"/>
    </row>
    <row r="48" customFormat="false" ht="15" hidden="false" customHeight="false" outlineLevel="0" collapsed="false">
      <c r="A48" s="9" t="str">
        <f aca="false">Summary!$A$7</f>
        <v>Copilot v3</v>
      </c>
      <c r="B48" s="4" t="s">
        <v>47</v>
      </c>
      <c r="C48" s="9" t="str">
        <f aca="false">INDEX(Questions!$B$2:$B$21,MATCH($B48,Questions!$A$2:$A$21,0))</f>
        <v>direct</v>
      </c>
      <c r="D48" s="10"/>
      <c r="E48" s="10"/>
      <c r="F48" s="10"/>
      <c r="G48" s="11" t="str">
        <f aca="false">IF(COUNT(D48:F48)=3,IF(MIN(D48:F48)=1,1,0),"")</f>
        <v/>
      </c>
      <c r="H48" s="6"/>
    </row>
    <row r="49" customFormat="false" ht="15" hidden="false" customHeight="false" outlineLevel="0" collapsed="false">
      <c r="A49" s="9" t="str">
        <f aca="false">Summary!$A$7</f>
        <v>Copilot v3</v>
      </c>
      <c r="B49" s="4" t="s">
        <v>51</v>
      </c>
      <c r="C49" s="9" t="str">
        <f aca="false">INDEX(Questions!$B$2:$B$21,MATCH($B49,Questions!$A$2:$A$21,0))</f>
        <v>direct</v>
      </c>
      <c r="D49" s="10"/>
      <c r="E49" s="10"/>
      <c r="F49" s="10"/>
      <c r="G49" s="11" t="str">
        <f aca="false">IF(COUNT(D49:F49)=3,IF(MIN(D49:F49)=1,1,0),"")</f>
        <v/>
      </c>
      <c r="H49" s="6"/>
    </row>
    <row r="50" customFormat="false" ht="15" hidden="false" customHeight="false" outlineLevel="0" collapsed="false">
      <c r="A50" s="9" t="str">
        <f aca="false">Summary!$A$7</f>
        <v>Copilot v3</v>
      </c>
      <c r="B50" s="4" t="s">
        <v>55</v>
      </c>
      <c r="C50" s="9" t="str">
        <f aca="false">INDEX(Questions!$B$2:$B$21,MATCH($B50,Questions!$A$2:$A$21,0))</f>
        <v>direct</v>
      </c>
      <c r="D50" s="10"/>
      <c r="E50" s="10"/>
      <c r="F50" s="10"/>
      <c r="G50" s="11" t="str">
        <f aca="false">IF(COUNT(D50:F50)=3,IF(MIN(D50:F50)=1,1,0),"")</f>
        <v/>
      </c>
      <c r="H50" s="6"/>
    </row>
    <row r="51" customFormat="false" ht="15" hidden="false" customHeight="false" outlineLevel="0" collapsed="false">
      <c r="A51" s="9" t="str">
        <f aca="false">Summary!$A$7</f>
        <v>Copilot v3</v>
      </c>
      <c r="B51" s="4" t="s">
        <v>59</v>
      </c>
      <c r="C51" s="9" t="str">
        <f aca="false">INDEX(Questions!$B$2:$B$21,MATCH($B51,Questions!$A$2:$A$21,0))</f>
        <v>direct</v>
      </c>
      <c r="D51" s="10"/>
      <c r="E51" s="10"/>
      <c r="F51" s="10"/>
      <c r="G51" s="11" t="str">
        <f aca="false">IF(COUNT(D51:F51)=3,IF(MIN(D51:F51)=1,1,0),"")</f>
        <v/>
      </c>
      <c r="H51" s="6"/>
    </row>
    <row r="52" customFormat="false" ht="15" hidden="false" customHeight="false" outlineLevel="0" collapsed="false">
      <c r="A52" s="9" t="str">
        <f aca="false">Summary!$A$7</f>
        <v>Copilot v3</v>
      </c>
      <c r="B52" s="4" t="s">
        <v>63</v>
      </c>
      <c r="C52" s="9" t="str">
        <f aca="false">INDEX(Questions!$B$2:$B$21,MATCH($B52,Questions!$A$2:$A$21,0))</f>
        <v>multi_doc</v>
      </c>
      <c r="D52" s="10"/>
      <c r="E52" s="10"/>
      <c r="F52" s="10"/>
      <c r="G52" s="11" t="str">
        <f aca="false">IF(COUNT(D52:F52)=3,IF(MIN(D52:F52)=1,1,0),"")</f>
        <v/>
      </c>
      <c r="H52" s="6"/>
    </row>
    <row r="53" customFormat="false" ht="15" hidden="false" customHeight="false" outlineLevel="0" collapsed="false">
      <c r="A53" s="9" t="str">
        <f aca="false">Summary!$A$7</f>
        <v>Copilot v3</v>
      </c>
      <c r="B53" s="4" t="s">
        <v>68</v>
      </c>
      <c r="C53" s="9" t="str">
        <f aca="false">INDEX(Questions!$B$2:$B$21,MATCH($B53,Questions!$A$2:$A$21,0))</f>
        <v>multi_doc</v>
      </c>
      <c r="D53" s="10"/>
      <c r="E53" s="10"/>
      <c r="F53" s="10"/>
      <c r="G53" s="11" t="str">
        <f aca="false">IF(COUNT(D53:F53)=3,IF(MIN(D53:F53)=1,1,0),"")</f>
        <v/>
      </c>
      <c r="H53" s="6"/>
    </row>
    <row r="54" customFormat="false" ht="15" hidden="false" customHeight="false" outlineLevel="0" collapsed="false">
      <c r="A54" s="9" t="str">
        <f aca="false">Summary!$A$7</f>
        <v>Copilot v3</v>
      </c>
      <c r="B54" s="4" t="s">
        <v>72</v>
      </c>
      <c r="C54" s="9" t="str">
        <f aca="false">INDEX(Questions!$B$2:$B$21,MATCH($B54,Questions!$A$2:$A$21,0))</f>
        <v>multi_doc</v>
      </c>
      <c r="D54" s="10"/>
      <c r="E54" s="10"/>
      <c r="F54" s="10"/>
      <c r="G54" s="11" t="str">
        <f aca="false">IF(COUNT(D54:F54)=3,IF(MIN(D54:F54)=1,1,0),"")</f>
        <v/>
      </c>
      <c r="H54" s="6"/>
    </row>
    <row r="55" customFormat="false" ht="15" hidden="false" customHeight="false" outlineLevel="0" collapsed="false">
      <c r="A55" s="9" t="str">
        <f aca="false">Summary!$A$7</f>
        <v>Copilot v3</v>
      </c>
      <c r="B55" s="4" t="s">
        <v>76</v>
      </c>
      <c r="C55" s="9" t="str">
        <f aca="false">INDEX(Questions!$B$2:$B$21,MATCH($B55,Questions!$A$2:$A$21,0))</f>
        <v>multi_doc</v>
      </c>
      <c r="D55" s="10"/>
      <c r="E55" s="10"/>
      <c r="F55" s="10"/>
      <c r="G55" s="11" t="str">
        <f aca="false">IF(COUNT(D55:F55)=3,IF(MIN(D55:F55)=1,1,0),"")</f>
        <v/>
      </c>
      <c r="H55" s="6"/>
    </row>
    <row r="56" customFormat="false" ht="15" hidden="false" customHeight="false" outlineLevel="0" collapsed="false">
      <c r="A56" s="9" t="str">
        <f aca="false">Summary!$A$7</f>
        <v>Copilot v3</v>
      </c>
      <c r="B56" s="4" t="s">
        <v>80</v>
      </c>
      <c r="C56" s="9" t="str">
        <f aca="false">INDEX(Questions!$B$2:$B$21,MATCH($B56,Questions!$A$2:$A$21,0))</f>
        <v>vague</v>
      </c>
      <c r="D56" s="10"/>
      <c r="E56" s="10"/>
      <c r="F56" s="10"/>
      <c r="G56" s="11" t="str">
        <f aca="false">IF(COUNT(D56:F56)=3,IF(MIN(D56:F56)=1,1,0),"")</f>
        <v/>
      </c>
      <c r="H56" s="6"/>
    </row>
    <row r="57" customFormat="false" ht="15" hidden="false" customHeight="false" outlineLevel="0" collapsed="false">
      <c r="A57" s="9" t="str">
        <f aca="false">Summary!$A$7</f>
        <v>Copilot v3</v>
      </c>
      <c r="B57" s="4" t="s">
        <v>85</v>
      </c>
      <c r="C57" s="9" t="str">
        <f aca="false">INDEX(Questions!$B$2:$B$21,MATCH($B57,Questions!$A$2:$A$21,0))</f>
        <v>vague</v>
      </c>
      <c r="D57" s="10"/>
      <c r="E57" s="10"/>
      <c r="F57" s="10"/>
      <c r="G57" s="11" t="str">
        <f aca="false">IF(COUNT(D57:F57)=3,IF(MIN(D57:F57)=1,1,0),"")</f>
        <v/>
      </c>
      <c r="H57" s="6"/>
    </row>
    <row r="58" customFormat="false" ht="15" hidden="false" customHeight="false" outlineLevel="0" collapsed="false">
      <c r="A58" s="9" t="str">
        <f aca="false">Summary!$A$7</f>
        <v>Copilot v3</v>
      </c>
      <c r="B58" s="4" t="s">
        <v>89</v>
      </c>
      <c r="C58" s="9" t="str">
        <f aca="false">INDEX(Questions!$B$2:$B$21,MATCH($B58,Questions!$A$2:$A$21,0))</f>
        <v>vague</v>
      </c>
      <c r="D58" s="10"/>
      <c r="E58" s="10"/>
      <c r="F58" s="10"/>
      <c r="G58" s="11" t="str">
        <f aca="false">IF(COUNT(D58:F58)=3,IF(MIN(D58:F58)=1,1,0),"")</f>
        <v/>
      </c>
      <c r="H58" s="6"/>
    </row>
    <row r="59" customFormat="false" ht="15" hidden="false" customHeight="false" outlineLevel="0" collapsed="false">
      <c r="A59" s="9" t="str">
        <f aca="false">Summary!$A$7</f>
        <v>Copilot v3</v>
      </c>
      <c r="B59" s="4" t="s">
        <v>93</v>
      </c>
      <c r="C59" s="9" t="str">
        <f aca="false">INDEX(Questions!$B$2:$B$21,MATCH($B59,Questions!$A$2:$A$21,0))</f>
        <v>out_of_scope</v>
      </c>
      <c r="D59" s="10"/>
      <c r="E59" s="10"/>
      <c r="F59" s="10"/>
      <c r="G59" s="11" t="str">
        <f aca="false">IF(COUNT(D59:F59)=3,IF(MIN(D59:F59)=1,1,0),"")</f>
        <v/>
      </c>
      <c r="H59" s="6"/>
    </row>
    <row r="60" customFormat="false" ht="15" hidden="false" customHeight="false" outlineLevel="0" collapsed="false">
      <c r="A60" s="9" t="str">
        <f aca="false">Summary!$A$7</f>
        <v>Copilot v3</v>
      </c>
      <c r="B60" s="4" t="s">
        <v>99</v>
      </c>
      <c r="C60" s="9" t="str">
        <f aca="false">INDEX(Questions!$B$2:$B$21,MATCH($B60,Questions!$A$2:$A$21,0))</f>
        <v>out_of_scope</v>
      </c>
      <c r="D60" s="10"/>
      <c r="E60" s="10"/>
      <c r="F60" s="10"/>
      <c r="G60" s="11" t="str">
        <f aca="false">IF(COUNT(D60:F60)=3,IF(MIN(D60:F60)=1,1,0),"")</f>
        <v/>
      </c>
      <c r="H60" s="6"/>
    </row>
    <row r="61" customFormat="false" ht="15" hidden="false" customHeight="false" outlineLevel="0" collapsed="false">
      <c r="A61" s="9" t="str">
        <f aca="false">Summary!$A$7</f>
        <v>Copilot v3</v>
      </c>
      <c r="B61" s="4" t="s">
        <v>102</v>
      </c>
      <c r="C61" s="9" t="str">
        <f aca="false">INDEX(Questions!$B$2:$B$21,MATCH($B61,Questions!$A$2:$A$21,0))</f>
        <v>out_of_scope</v>
      </c>
      <c r="D61" s="10"/>
      <c r="E61" s="10"/>
      <c r="F61" s="10"/>
      <c r="G61" s="11" t="str">
        <f aca="false">IF(COUNT(D61:F61)=3,IF(MIN(D61:F61)=1,1,0),"")</f>
        <v/>
      </c>
      <c r="H61" s="6"/>
    </row>
    <row r="62" customFormat="false" ht="15" hidden="false" customHeight="false" outlineLevel="0" collapsed="false">
      <c r="A62" s="9" t="str">
        <f aca="false">Summary!$A$8</f>
        <v>Copilot v4</v>
      </c>
      <c r="B62" s="4" t="s">
        <v>21</v>
      </c>
      <c r="C62" s="9" t="str">
        <f aca="false">INDEX(Questions!$B$2:$B$21,MATCH($B62,Questions!$A$2:$A$21,0))</f>
        <v>direct</v>
      </c>
      <c r="D62" s="10"/>
      <c r="E62" s="10"/>
      <c r="F62" s="10"/>
      <c r="G62" s="11" t="str">
        <f aca="false">IF(COUNT(D62:F62)=3,IF(MIN(D62:F62)=1,1,0),"")</f>
        <v/>
      </c>
      <c r="H62" s="6"/>
    </row>
    <row r="63" customFormat="false" ht="15" hidden="false" customHeight="false" outlineLevel="0" collapsed="false">
      <c r="A63" s="9" t="str">
        <f aca="false">Summary!$A$8</f>
        <v>Copilot v4</v>
      </c>
      <c r="B63" s="4" t="s">
        <v>27</v>
      </c>
      <c r="C63" s="9" t="str">
        <f aca="false">INDEX(Questions!$B$2:$B$21,MATCH($B63,Questions!$A$2:$A$21,0))</f>
        <v>direct</v>
      </c>
      <c r="D63" s="10"/>
      <c r="E63" s="10"/>
      <c r="F63" s="10"/>
      <c r="G63" s="11" t="str">
        <f aca="false">IF(COUNT(D63:F63)=3,IF(MIN(D63:F63)=1,1,0),"")</f>
        <v/>
      </c>
      <c r="H63" s="6"/>
    </row>
    <row r="64" customFormat="false" ht="15" hidden="false" customHeight="false" outlineLevel="0" collapsed="false">
      <c r="A64" s="9" t="str">
        <f aca="false">Summary!$A$8</f>
        <v>Copilot v4</v>
      </c>
      <c r="B64" s="4" t="s">
        <v>31</v>
      </c>
      <c r="C64" s="9" t="str">
        <f aca="false">INDEX(Questions!$B$2:$B$21,MATCH($B64,Questions!$A$2:$A$21,0))</f>
        <v>direct</v>
      </c>
      <c r="D64" s="10"/>
      <c r="E64" s="10"/>
      <c r="F64" s="10"/>
      <c r="G64" s="11" t="str">
        <f aca="false">IF(COUNT(D64:F64)=3,IF(MIN(D64:F64)=1,1,0),"")</f>
        <v/>
      </c>
      <c r="H64" s="6"/>
    </row>
    <row r="65" customFormat="false" ht="15" hidden="false" customHeight="false" outlineLevel="0" collapsed="false">
      <c r="A65" s="9" t="str">
        <f aca="false">Summary!$A$8</f>
        <v>Copilot v4</v>
      </c>
      <c r="B65" s="4" t="s">
        <v>35</v>
      </c>
      <c r="C65" s="9" t="str">
        <f aca="false">INDEX(Questions!$B$2:$B$21,MATCH($B65,Questions!$A$2:$A$21,0))</f>
        <v>direct</v>
      </c>
      <c r="D65" s="10"/>
      <c r="E65" s="10"/>
      <c r="F65" s="10"/>
      <c r="G65" s="11" t="str">
        <f aca="false">IF(COUNT(D65:F65)=3,IF(MIN(D65:F65)=1,1,0),"")</f>
        <v/>
      </c>
      <c r="H65" s="6"/>
    </row>
    <row r="66" customFormat="false" ht="15" hidden="false" customHeight="false" outlineLevel="0" collapsed="false">
      <c r="A66" s="9" t="str">
        <f aca="false">Summary!$A$8</f>
        <v>Copilot v4</v>
      </c>
      <c r="B66" s="4" t="s">
        <v>39</v>
      </c>
      <c r="C66" s="9" t="str">
        <f aca="false">INDEX(Questions!$B$2:$B$21,MATCH($B66,Questions!$A$2:$A$21,0))</f>
        <v>direct</v>
      </c>
      <c r="D66" s="10"/>
      <c r="E66" s="10"/>
      <c r="F66" s="10"/>
      <c r="G66" s="11" t="str">
        <f aca="false">IF(COUNT(D66:F66)=3,IF(MIN(D66:F66)=1,1,0),"")</f>
        <v/>
      </c>
      <c r="H66" s="6"/>
    </row>
    <row r="67" customFormat="false" ht="15" hidden="false" customHeight="false" outlineLevel="0" collapsed="false">
      <c r="A67" s="9" t="str">
        <f aca="false">Summary!$A$8</f>
        <v>Copilot v4</v>
      </c>
      <c r="B67" s="4" t="s">
        <v>43</v>
      </c>
      <c r="C67" s="9" t="str">
        <f aca="false">INDEX(Questions!$B$2:$B$21,MATCH($B67,Questions!$A$2:$A$21,0))</f>
        <v>direct</v>
      </c>
      <c r="D67" s="10"/>
      <c r="E67" s="10"/>
      <c r="F67" s="10"/>
      <c r="G67" s="11" t="str">
        <f aca="false">IF(COUNT(D67:F67)=3,IF(MIN(D67:F67)=1,1,0),"")</f>
        <v/>
      </c>
      <c r="H67" s="6"/>
    </row>
    <row r="68" customFormat="false" ht="15" hidden="false" customHeight="false" outlineLevel="0" collapsed="false">
      <c r="A68" s="9" t="str">
        <f aca="false">Summary!$A$8</f>
        <v>Copilot v4</v>
      </c>
      <c r="B68" s="4" t="s">
        <v>47</v>
      </c>
      <c r="C68" s="9" t="str">
        <f aca="false">INDEX(Questions!$B$2:$B$21,MATCH($B68,Questions!$A$2:$A$21,0))</f>
        <v>direct</v>
      </c>
      <c r="D68" s="10"/>
      <c r="E68" s="10"/>
      <c r="F68" s="10"/>
      <c r="G68" s="11" t="str">
        <f aca="false">IF(COUNT(D68:F68)=3,IF(MIN(D68:F68)=1,1,0),"")</f>
        <v/>
      </c>
      <c r="H68" s="6"/>
    </row>
    <row r="69" customFormat="false" ht="15" hidden="false" customHeight="false" outlineLevel="0" collapsed="false">
      <c r="A69" s="9" t="str">
        <f aca="false">Summary!$A$8</f>
        <v>Copilot v4</v>
      </c>
      <c r="B69" s="4" t="s">
        <v>51</v>
      </c>
      <c r="C69" s="9" t="str">
        <f aca="false">INDEX(Questions!$B$2:$B$21,MATCH($B69,Questions!$A$2:$A$21,0))</f>
        <v>direct</v>
      </c>
      <c r="D69" s="10"/>
      <c r="E69" s="10"/>
      <c r="F69" s="10"/>
      <c r="G69" s="11" t="str">
        <f aca="false">IF(COUNT(D69:F69)=3,IF(MIN(D69:F69)=1,1,0),"")</f>
        <v/>
      </c>
      <c r="H69" s="6"/>
    </row>
    <row r="70" customFormat="false" ht="15" hidden="false" customHeight="false" outlineLevel="0" collapsed="false">
      <c r="A70" s="9" t="str">
        <f aca="false">Summary!$A$8</f>
        <v>Copilot v4</v>
      </c>
      <c r="B70" s="4" t="s">
        <v>55</v>
      </c>
      <c r="C70" s="9" t="str">
        <f aca="false">INDEX(Questions!$B$2:$B$21,MATCH($B70,Questions!$A$2:$A$21,0))</f>
        <v>direct</v>
      </c>
      <c r="D70" s="10"/>
      <c r="E70" s="10"/>
      <c r="F70" s="10"/>
      <c r="G70" s="11" t="str">
        <f aca="false">IF(COUNT(D70:F70)=3,IF(MIN(D70:F70)=1,1,0),"")</f>
        <v/>
      </c>
      <c r="H70" s="6"/>
    </row>
    <row r="71" customFormat="false" ht="15" hidden="false" customHeight="false" outlineLevel="0" collapsed="false">
      <c r="A71" s="9" t="str">
        <f aca="false">Summary!$A$8</f>
        <v>Copilot v4</v>
      </c>
      <c r="B71" s="4" t="s">
        <v>59</v>
      </c>
      <c r="C71" s="9" t="str">
        <f aca="false">INDEX(Questions!$B$2:$B$21,MATCH($B71,Questions!$A$2:$A$21,0))</f>
        <v>direct</v>
      </c>
      <c r="D71" s="10"/>
      <c r="E71" s="10"/>
      <c r="F71" s="10"/>
      <c r="G71" s="11" t="str">
        <f aca="false">IF(COUNT(D71:F71)=3,IF(MIN(D71:F71)=1,1,0),"")</f>
        <v/>
      </c>
      <c r="H71" s="6"/>
    </row>
    <row r="72" customFormat="false" ht="15" hidden="false" customHeight="false" outlineLevel="0" collapsed="false">
      <c r="A72" s="9" t="str">
        <f aca="false">Summary!$A$8</f>
        <v>Copilot v4</v>
      </c>
      <c r="B72" s="4" t="s">
        <v>63</v>
      </c>
      <c r="C72" s="9" t="str">
        <f aca="false">INDEX(Questions!$B$2:$B$21,MATCH($B72,Questions!$A$2:$A$21,0))</f>
        <v>multi_doc</v>
      </c>
      <c r="D72" s="10"/>
      <c r="E72" s="10"/>
      <c r="F72" s="10"/>
      <c r="G72" s="11" t="str">
        <f aca="false">IF(COUNT(D72:F72)=3,IF(MIN(D72:F72)=1,1,0),"")</f>
        <v/>
      </c>
      <c r="H72" s="6"/>
    </row>
    <row r="73" customFormat="false" ht="15" hidden="false" customHeight="false" outlineLevel="0" collapsed="false">
      <c r="A73" s="9" t="str">
        <f aca="false">Summary!$A$8</f>
        <v>Copilot v4</v>
      </c>
      <c r="B73" s="4" t="s">
        <v>68</v>
      </c>
      <c r="C73" s="9" t="str">
        <f aca="false">INDEX(Questions!$B$2:$B$21,MATCH($B73,Questions!$A$2:$A$21,0))</f>
        <v>multi_doc</v>
      </c>
      <c r="D73" s="10"/>
      <c r="E73" s="10"/>
      <c r="F73" s="10"/>
      <c r="G73" s="11" t="str">
        <f aca="false">IF(COUNT(D73:F73)=3,IF(MIN(D73:F73)=1,1,0),"")</f>
        <v/>
      </c>
      <c r="H73" s="6"/>
    </row>
    <row r="74" customFormat="false" ht="15" hidden="false" customHeight="false" outlineLevel="0" collapsed="false">
      <c r="A74" s="9" t="str">
        <f aca="false">Summary!$A$8</f>
        <v>Copilot v4</v>
      </c>
      <c r="B74" s="4" t="s">
        <v>72</v>
      </c>
      <c r="C74" s="9" t="str">
        <f aca="false">INDEX(Questions!$B$2:$B$21,MATCH($B74,Questions!$A$2:$A$21,0))</f>
        <v>multi_doc</v>
      </c>
      <c r="D74" s="10"/>
      <c r="E74" s="10"/>
      <c r="F74" s="10"/>
      <c r="G74" s="11" t="str">
        <f aca="false">IF(COUNT(D74:F74)=3,IF(MIN(D74:F74)=1,1,0),"")</f>
        <v/>
      </c>
      <c r="H74" s="6"/>
    </row>
    <row r="75" customFormat="false" ht="15" hidden="false" customHeight="false" outlineLevel="0" collapsed="false">
      <c r="A75" s="9" t="str">
        <f aca="false">Summary!$A$8</f>
        <v>Copilot v4</v>
      </c>
      <c r="B75" s="4" t="s">
        <v>76</v>
      </c>
      <c r="C75" s="9" t="str">
        <f aca="false">INDEX(Questions!$B$2:$B$21,MATCH($B75,Questions!$A$2:$A$21,0))</f>
        <v>multi_doc</v>
      </c>
      <c r="D75" s="10"/>
      <c r="E75" s="10"/>
      <c r="F75" s="10"/>
      <c r="G75" s="11" t="str">
        <f aca="false">IF(COUNT(D75:F75)=3,IF(MIN(D75:F75)=1,1,0),"")</f>
        <v/>
      </c>
      <c r="H75" s="6"/>
    </row>
    <row r="76" customFormat="false" ht="15" hidden="false" customHeight="false" outlineLevel="0" collapsed="false">
      <c r="A76" s="9" t="str">
        <f aca="false">Summary!$A$8</f>
        <v>Copilot v4</v>
      </c>
      <c r="B76" s="4" t="s">
        <v>80</v>
      </c>
      <c r="C76" s="9" t="str">
        <f aca="false">INDEX(Questions!$B$2:$B$21,MATCH($B76,Questions!$A$2:$A$21,0))</f>
        <v>vague</v>
      </c>
      <c r="D76" s="10"/>
      <c r="E76" s="10"/>
      <c r="F76" s="10"/>
      <c r="G76" s="11" t="str">
        <f aca="false">IF(COUNT(D76:F76)=3,IF(MIN(D76:F76)=1,1,0),"")</f>
        <v/>
      </c>
      <c r="H76" s="6"/>
    </row>
    <row r="77" customFormat="false" ht="15" hidden="false" customHeight="false" outlineLevel="0" collapsed="false">
      <c r="A77" s="9" t="str">
        <f aca="false">Summary!$A$8</f>
        <v>Copilot v4</v>
      </c>
      <c r="B77" s="4" t="s">
        <v>85</v>
      </c>
      <c r="C77" s="9" t="str">
        <f aca="false">INDEX(Questions!$B$2:$B$21,MATCH($B77,Questions!$A$2:$A$21,0))</f>
        <v>vague</v>
      </c>
      <c r="D77" s="10"/>
      <c r="E77" s="10"/>
      <c r="F77" s="10"/>
      <c r="G77" s="11" t="str">
        <f aca="false">IF(COUNT(D77:F77)=3,IF(MIN(D77:F77)=1,1,0),"")</f>
        <v/>
      </c>
      <c r="H77" s="6"/>
    </row>
    <row r="78" customFormat="false" ht="15" hidden="false" customHeight="false" outlineLevel="0" collapsed="false">
      <c r="A78" s="9" t="str">
        <f aca="false">Summary!$A$8</f>
        <v>Copilot v4</v>
      </c>
      <c r="B78" s="4" t="s">
        <v>89</v>
      </c>
      <c r="C78" s="9" t="str">
        <f aca="false">INDEX(Questions!$B$2:$B$21,MATCH($B78,Questions!$A$2:$A$21,0))</f>
        <v>vague</v>
      </c>
      <c r="D78" s="10"/>
      <c r="E78" s="10"/>
      <c r="F78" s="10"/>
      <c r="G78" s="11" t="str">
        <f aca="false">IF(COUNT(D78:F78)=3,IF(MIN(D78:F78)=1,1,0),"")</f>
        <v/>
      </c>
      <c r="H78" s="6"/>
    </row>
    <row r="79" customFormat="false" ht="15" hidden="false" customHeight="false" outlineLevel="0" collapsed="false">
      <c r="A79" s="9" t="str">
        <f aca="false">Summary!$A$8</f>
        <v>Copilot v4</v>
      </c>
      <c r="B79" s="4" t="s">
        <v>93</v>
      </c>
      <c r="C79" s="9" t="str">
        <f aca="false">INDEX(Questions!$B$2:$B$21,MATCH($B79,Questions!$A$2:$A$21,0))</f>
        <v>out_of_scope</v>
      </c>
      <c r="D79" s="10"/>
      <c r="E79" s="10"/>
      <c r="F79" s="10"/>
      <c r="G79" s="11" t="str">
        <f aca="false">IF(COUNT(D79:F79)=3,IF(MIN(D79:F79)=1,1,0),"")</f>
        <v/>
      </c>
      <c r="H79" s="6"/>
    </row>
    <row r="80" customFormat="false" ht="15" hidden="false" customHeight="false" outlineLevel="0" collapsed="false">
      <c r="A80" s="9" t="str">
        <f aca="false">Summary!$A$8</f>
        <v>Copilot v4</v>
      </c>
      <c r="B80" s="4" t="s">
        <v>99</v>
      </c>
      <c r="C80" s="9" t="str">
        <f aca="false">INDEX(Questions!$B$2:$B$21,MATCH($B80,Questions!$A$2:$A$21,0))</f>
        <v>out_of_scope</v>
      </c>
      <c r="D80" s="10"/>
      <c r="E80" s="10"/>
      <c r="F80" s="10"/>
      <c r="G80" s="11" t="str">
        <f aca="false">IF(COUNT(D80:F80)=3,IF(MIN(D80:F80)=1,1,0),"")</f>
        <v/>
      </c>
      <c r="H80" s="6"/>
    </row>
    <row r="81" customFormat="false" ht="15" hidden="false" customHeight="false" outlineLevel="0" collapsed="false">
      <c r="A81" s="9" t="str">
        <f aca="false">Summary!$A$8</f>
        <v>Copilot v4</v>
      </c>
      <c r="B81" s="4" t="s">
        <v>102</v>
      </c>
      <c r="C81" s="9" t="str">
        <f aca="false">INDEX(Questions!$B$2:$B$21,MATCH($B81,Questions!$A$2:$A$21,0))</f>
        <v>out_of_scope</v>
      </c>
      <c r="D81" s="10"/>
      <c r="E81" s="10"/>
      <c r="F81" s="10"/>
      <c r="G81" s="11" t="str">
        <f aca="false">IF(COUNT(D81:F81)=3,IF(MIN(D81:F81)=1,1,0),"")</f>
        <v/>
      </c>
      <c r="H81" s="6"/>
    </row>
    <row r="82" customFormat="false" ht="15" hidden="false" customHeight="false" outlineLevel="0" collapsed="false">
      <c r="A82" s="9" t="str">
        <f aca="false">Summary!$A$9</f>
        <v>Python prototype</v>
      </c>
      <c r="B82" s="4" t="s">
        <v>21</v>
      </c>
      <c r="C82" s="9" t="str">
        <f aca="false">INDEX(Questions!$B$2:$B$21,MATCH($B82,Questions!$A$2:$A$21,0))</f>
        <v>direct</v>
      </c>
      <c r="D82" s="10"/>
      <c r="E82" s="10"/>
      <c r="F82" s="10"/>
      <c r="G82" s="11" t="str">
        <f aca="false">IF(COUNT(D82:F82)=3,IF(MIN(D82:F82)=1,1,0),"")</f>
        <v/>
      </c>
      <c r="H82" s="6"/>
    </row>
    <row r="83" customFormat="false" ht="15" hidden="false" customHeight="false" outlineLevel="0" collapsed="false">
      <c r="A83" s="9" t="str">
        <f aca="false">Summary!$A$9</f>
        <v>Python prototype</v>
      </c>
      <c r="B83" s="4" t="s">
        <v>27</v>
      </c>
      <c r="C83" s="9" t="str">
        <f aca="false">INDEX(Questions!$B$2:$B$21,MATCH($B83,Questions!$A$2:$A$21,0))</f>
        <v>direct</v>
      </c>
      <c r="D83" s="10"/>
      <c r="E83" s="10"/>
      <c r="F83" s="10"/>
      <c r="G83" s="11" t="str">
        <f aca="false">IF(COUNT(D83:F83)=3,IF(MIN(D83:F83)=1,1,0),"")</f>
        <v/>
      </c>
      <c r="H83" s="6"/>
    </row>
    <row r="84" customFormat="false" ht="15" hidden="false" customHeight="false" outlineLevel="0" collapsed="false">
      <c r="A84" s="9" t="str">
        <f aca="false">Summary!$A$9</f>
        <v>Python prototype</v>
      </c>
      <c r="B84" s="4" t="s">
        <v>31</v>
      </c>
      <c r="C84" s="9" t="str">
        <f aca="false">INDEX(Questions!$B$2:$B$21,MATCH($B84,Questions!$A$2:$A$21,0))</f>
        <v>direct</v>
      </c>
      <c r="D84" s="10"/>
      <c r="E84" s="10"/>
      <c r="F84" s="10"/>
      <c r="G84" s="11" t="str">
        <f aca="false">IF(COUNT(D84:F84)=3,IF(MIN(D84:F84)=1,1,0),"")</f>
        <v/>
      </c>
      <c r="H84" s="6"/>
    </row>
    <row r="85" customFormat="false" ht="15" hidden="false" customHeight="false" outlineLevel="0" collapsed="false">
      <c r="A85" s="9" t="str">
        <f aca="false">Summary!$A$9</f>
        <v>Python prototype</v>
      </c>
      <c r="B85" s="4" t="s">
        <v>35</v>
      </c>
      <c r="C85" s="9" t="str">
        <f aca="false">INDEX(Questions!$B$2:$B$21,MATCH($B85,Questions!$A$2:$A$21,0))</f>
        <v>direct</v>
      </c>
      <c r="D85" s="10"/>
      <c r="E85" s="10"/>
      <c r="F85" s="10"/>
      <c r="G85" s="11" t="str">
        <f aca="false">IF(COUNT(D85:F85)=3,IF(MIN(D85:F85)=1,1,0),"")</f>
        <v/>
      </c>
      <c r="H85" s="6"/>
    </row>
    <row r="86" customFormat="false" ht="15" hidden="false" customHeight="false" outlineLevel="0" collapsed="false">
      <c r="A86" s="9" t="str">
        <f aca="false">Summary!$A$9</f>
        <v>Python prototype</v>
      </c>
      <c r="B86" s="4" t="s">
        <v>39</v>
      </c>
      <c r="C86" s="9" t="str">
        <f aca="false">INDEX(Questions!$B$2:$B$21,MATCH($B86,Questions!$A$2:$A$21,0))</f>
        <v>direct</v>
      </c>
      <c r="D86" s="10"/>
      <c r="E86" s="10"/>
      <c r="F86" s="10"/>
      <c r="G86" s="11" t="str">
        <f aca="false">IF(COUNT(D86:F86)=3,IF(MIN(D86:F86)=1,1,0),"")</f>
        <v/>
      </c>
      <c r="H86" s="6"/>
    </row>
    <row r="87" customFormat="false" ht="15" hidden="false" customHeight="false" outlineLevel="0" collapsed="false">
      <c r="A87" s="9" t="str">
        <f aca="false">Summary!$A$9</f>
        <v>Python prototype</v>
      </c>
      <c r="B87" s="4" t="s">
        <v>43</v>
      </c>
      <c r="C87" s="9" t="str">
        <f aca="false">INDEX(Questions!$B$2:$B$21,MATCH($B87,Questions!$A$2:$A$21,0))</f>
        <v>direct</v>
      </c>
      <c r="D87" s="10"/>
      <c r="E87" s="10"/>
      <c r="F87" s="10"/>
      <c r="G87" s="11" t="str">
        <f aca="false">IF(COUNT(D87:F87)=3,IF(MIN(D87:F87)=1,1,0),"")</f>
        <v/>
      </c>
      <c r="H87" s="6"/>
    </row>
    <row r="88" customFormat="false" ht="15" hidden="false" customHeight="false" outlineLevel="0" collapsed="false">
      <c r="A88" s="9" t="str">
        <f aca="false">Summary!$A$9</f>
        <v>Python prototype</v>
      </c>
      <c r="B88" s="4" t="s">
        <v>47</v>
      </c>
      <c r="C88" s="9" t="str">
        <f aca="false">INDEX(Questions!$B$2:$B$21,MATCH($B88,Questions!$A$2:$A$21,0))</f>
        <v>direct</v>
      </c>
      <c r="D88" s="10"/>
      <c r="E88" s="10"/>
      <c r="F88" s="10"/>
      <c r="G88" s="11" t="str">
        <f aca="false">IF(COUNT(D88:F88)=3,IF(MIN(D88:F88)=1,1,0),"")</f>
        <v/>
      </c>
      <c r="H88" s="6"/>
    </row>
    <row r="89" customFormat="false" ht="15" hidden="false" customHeight="false" outlineLevel="0" collapsed="false">
      <c r="A89" s="9" t="str">
        <f aca="false">Summary!$A$9</f>
        <v>Python prototype</v>
      </c>
      <c r="B89" s="4" t="s">
        <v>51</v>
      </c>
      <c r="C89" s="9" t="str">
        <f aca="false">INDEX(Questions!$B$2:$B$21,MATCH($B89,Questions!$A$2:$A$21,0))</f>
        <v>direct</v>
      </c>
      <c r="D89" s="10"/>
      <c r="E89" s="10"/>
      <c r="F89" s="10"/>
      <c r="G89" s="11" t="str">
        <f aca="false">IF(COUNT(D89:F89)=3,IF(MIN(D89:F89)=1,1,0),"")</f>
        <v/>
      </c>
      <c r="H89" s="6"/>
    </row>
    <row r="90" customFormat="false" ht="15" hidden="false" customHeight="false" outlineLevel="0" collapsed="false">
      <c r="A90" s="9" t="str">
        <f aca="false">Summary!$A$9</f>
        <v>Python prototype</v>
      </c>
      <c r="B90" s="4" t="s">
        <v>55</v>
      </c>
      <c r="C90" s="9" t="str">
        <f aca="false">INDEX(Questions!$B$2:$B$21,MATCH($B90,Questions!$A$2:$A$21,0))</f>
        <v>direct</v>
      </c>
      <c r="D90" s="10"/>
      <c r="E90" s="10"/>
      <c r="F90" s="10"/>
      <c r="G90" s="11" t="str">
        <f aca="false">IF(COUNT(D90:F90)=3,IF(MIN(D90:F90)=1,1,0),"")</f>
        <v/>
      </c>
      <c r="H90" s="6"/>
    </row>
    <row r="91" customFormat="false" ht="15" hidden="false" customHeight="false" outlineLevel="0" collapsed="false">
      <c r="A91" s="9" t="str">
        <f aca="false">Summary!$A$9</f>
        <v>Python prototype</v>
      </c>
      <c r="B91" s="4" t="s">
        <v>59</v>
      </c>
      <c r="C91" s="9" t="str">
        <f aca="false">INDEX(Questions!$B$2:$B$21,MATCH($B91,Questions!$A$2:$A$21,0))</f>
        <v>direct</v>
      </c>
      <c r="D91" s="10"/>
      <c r="E91" s="10"/>
      <c r="F91" s="10"/>
      <c r="G91" s="11" t="str">
        <f aca="false">IF(COUNT(D91:F91)=3,IF(MIN(D91:F91)=1,1,0),"")</f>
        <v/>
      </c>
      <c r="H91" s="6"/>
    </row>
    <row r="92" customFormat="false" ht="15" hidden="false" customHeight="false" outlineLevel="0" collapsed="false">
      <c r="A92" s="9" t="str">
        <f aca="false">Summary!$A$9</f>
        <v>Python prototype</v>
      </c>
      <c r="B92" s="4" t="s">
        <v>63</v>
      </c>
      <c r="C92" s="9" t="str">
        <f aca="false">INDEX(Questions!$B$2:$B$21,MATCH($B92,Questions!$A$2:$A$21,0))</f>
        <v>multi_doc</v>
      </c>
      <c r="D92" s="10"/>
      <c r="E92" s="10"/>
      <c r="F92" s="10"/>
      <c r="G92" s="11" t="str">
        <f aca="false">IF(COUNT(D92:F92)=3,IF(MIN(D92:F92)=1,1,0),"")</f>
        <v/>
      </c>
      <c r="H92" s="6"/>
    </row>
    <row r="93" customFormat="false" ht="15" hidden="false" customHeight="false" outlineLevel="0" collapsed="false">
      <c r="A93" s="9" t="str">
        <f aca="false">Summary!$A$9</f>
        <v>Python prototype</v>
      </c>
      <c r="B93" s="4" t="s">
        <v>68</v>
      </c>
      <c r="C93" s="9" t="str">
        <f aca="false">INDEX(Questions!$B$2:$B$21,MATCH($B93,Questions!$A$2:$A$21,0))</f>
        <v>multi_doc</v>
      </c>
      <c r="D93" s="10"/>
      <c r="E93" s="10"/>
      <c r="F93" s="10"/>
      <c r="G93" s="11" t="str">
        <f aca="false">IF(COUNT(D93:F93)=3,IF(MIN(D93:F93)=1,1,0),"")</f>
        <v/>
      </c>
      <c r="H93" s="6"/>
    </row>
    <row r="94" customFormat="false" ht="15" hidden="false" customHeight="false" outlineLevel="0" collapsed="false">
      <c r="A94" s="9" t="str">
        <f aca="false">Summary!$A$9</f>
        <v>Python prototype</v>
      </c>
      <c r="B94" s="4" t="s">
        <v>72</v>
      </c>
      <c r="C94" s="9" t="str">
        <f aca="false">INDEX(Questions!$B$2:$B$21,MATCH($B94,Questions!$A$2:$A$21,0))</f>
        <v>multi_doc</v>
      </c>
      <c r="D94" s="10"/>
      <c r="E94" s="10"/>
      <c r="F94" s="10"/>
      <c r="G94" s="11" t="str">
        <f aca="false">IF(COUNT(D94:F94)=3,IF(MIN(D94:F94)=1,1,0),"")</f>
        <v/>
      </c>
      <c r="H94" s="6"/>
    </row>
    <row r="95" customFormat="false" ht="15" hidden="false" customHeight="false" outlineLevel="0" collapsed="false">
      <c r="A95" s="9" t="str">
        <f aca="false">Summary!$A$9</f>
        <v>Python prototype</v>
      </c>
      <c r="B95" s="4" t="s">
        <v>76</v>
      </c>
      <c r="C95" s="9" t="str">
        <f aca="false">INDEX(Questions!$B$2:$B$21,MATCH($B95,Questions!$A$2:$A$21,0))</f>
        <v>multi_doc</v>
      </c>
      <c r="D95" s="10"/>
      <c r="E95" s="10"/>
      <c r="F95" s="10"/>
      <c r="G95" s="11" t="str">
        <f aca="false">IF(COUNT(D95:F95)=3,IF(MIN(D95:F95)=1,1,0),"")</f>
        <v/>
      </c>
      <c r="H95" s="6"/>
    </row>
    <row r="96" customFormat="false" ht="15" hidden="false" customHeight="false" outlineLevel="0" collapsed="false">
      <c r="A96" s="9" t="str">
        <f aca="false">Summary!$A$9</f>
        <v>Python prototype</v>
      </c>
      <c r="B96" s="4" t="s">
        <v>80</v>
      </c>
      <c r="C96" s="9" t="str">
        <f aca="false">INDEX(Questions!$B$2:$B$21,MATCH($B96,Questions!$A$2:$A$21,0))</f>
        <v>vague</v>
      </c>
      <c r="D96" s="10"/>
      <c r="E96" s="10"/>
      <c r="F96" s="10"/>
      <c r="G96" s="11" t="str">
        <f aca="false">IF(COUNT(D96:F96)=3,IF(MIN(D96:F96)=1,1,0),"")</f>
        <v/>
      </c>
      <c r="H96" s="6"/>
    </row>
    <row r="97" customFormat="false" ht="15" hidden="false" customHeight="false" outlineLevel="0" collapsed="false">
      <c r="A97" s="9" t="str">
        <f aca="false">Summary!$A$9</f>
        <v>Python prototype</v>
      </c>
      <c r="B97" s="4" t="s">
        <v>85</v>
      </c>
      <c r="C97" s="9" t="str">
        <f aca="false">INDEX(Questions!$B$2:$B$21,MATCH($B97,Questions!$A$2:$A$21,0))</f>
        <v>vague</v>
      </c>
      <c r="D97" s="10"/>
      <c r="E97" s="10"/>
      <c r="F97" s="10"/>
      <c r="G97" s="11" t="str">
        <f aca="false">IF(COUNT(D97:F97)=3,IF(MIN(D97:F97)=1,1,0),"")</f>
        <v/>
      </c>
      <c r="H97" s="6"/>
    </row>
    <row r="98" customFormat="false" ht="15" hidden="false" customHeight="false" outlineLevel="0" collapsed="false">
      <c r="A98" s="9" t="str">
        <f aca="false">Summary!$A$9</f>
        <v>Python prototype</v>
      </c>
      <c r="B98" s="4" t="s">
        <v>89</v>
      </c>
      <c r="C98" s="9" t="str">
        <f aca="false">INDEX(Questions!$B$2:$B$21,MATCH($B98,Questions!$A$2:$A$21,0))</f>
        <v>vague</v>
      </c>
      <c r="D98" s="10"/>
      <c r="E98" s="10"/>
      <c r="F98" s="10"/>
      <c r="G98" s="11" t="str">
        <f aca="false">IF(COUNT(D98:F98)=3,IF(MIN(D98:F98)=1,1,0),"")</f>
        <v/>
      </c>
      <c r="H98" s="6"/>
    </row>
    <row r="99" customFormat="false" ht="15" hidden="false" customHeight="false" outlineLevel="0" collapsed="false">
      <c r="A99" s="9" t="str">
        <f aca="false">Summary!$A$9</f>
        <v>Python prototype</v>
      </c>
      <c r="B99" s="4" t="s">
        <v>93</v>
      </c>
      <c r="C99" s="9" t="str">
        <f aca="false">INDEX(Questions!$B$2:$B$21,MATCH($B99,Questions!$A$2:$A$21,0))</f>
        <v>out_of_scope</v>
      </c>
      <c r="D99" s="10"/>
      <c r="E99" s="10"/>
      <c r="F99" s="10"/>
      <c r="G99" s="11" t="str">
        <f aca="false">IF(COUNT(D99:F99)=3,IF(MIN(D99:F99)=1,1,0),"")</f>
        <v/>
      </c>
      <c r="H99" s="6"/>
    </row>
    <row r="100" customFormat="false" ht="15" hidden="false" customHeight="false" outlineLevel="0" collapsed="false">
      <c r="A100" s="9" t="str">
        <f aca="false">Summary!$A$9</f>
        <v>Python prototype</v>
      </c>
      <c r="B100" s="4" t="s">
        <v>99</v>
      </c>
      <c r="C100" s="9" t="str">
        <f aca="false">INDEX(Questions!$B$2:$B$21,MATCH($B100,Questions!$A$2:$A$21,0))</f>
        <v>out_of_scope</v>
      </c>
      <c r="D100" s="10"/>
      <c r="E100" s="10"/>
      <c r="F100" s="10"/>
      <c r="G100" s="11" t="str">
        <f aca="false">IF(COUNT(D100:F100)=3,IF(MIN(D100:F100)=1,1,0),"")</f>
        <v/>
      </c>
      <c r="H100" s="6"/>
    </row>
    <row r="101" customFormat="false" ht="15" hidden="false" customHeight="false" outlineLevel="0" collapsed="false">
      <c r="A101" s="9" t="str">
        <f aca="false">Summary!$A$9</f>
        <v>Python prototype</v>
      </c>
      <c r="B101" s="4" t="s">
        <v>102</v>
      </c>
      <c r="C101" s="9" t="str">
        <f aca="false">INDEX(Questions!$B$2:$B$21,MATCH($B101,Questions!$A$2:$A$21,0))</f>
        <v>out_of_scope</v>
      </c>
      <c r="D101" s="10"/>
      <c r="E101" s="10"/>
      <c r="F101" s="10"/>
      <c r="G101" s="11" t="str">
        <f aca="false">IF(COUNT(D101:F101)=3,IF(MIN(D101:F101)=1,1,0),"")</f>
        <v/>
      </c>
      <c r="H101" s="6"/>
    </row>
  </sheetData>
  <autoFilter ref="A1:H101"/>
  <dataValidations count="1">
    <dataValidation allowBlank="true" error="Enter 1 or 0" errorStyle="stop" errorTitle="Score" operator="between" showDropDown="false" showErrorMessage="true" showInputMessage="false" sqref="D2:F101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23.85" hidden="false" customHeight="false" outlineLevel="0" collapsed="false">
      <c r="A1" s="3" t="s">
        <v>128</v>
      </c>
      <c r="B1" s="3" t="s">
        <v>129</v>
      </c>
      <c r="C1" s="3" t="s">
        <v>130</v>
      </c>
      <c r="D1" s="3" t="s">
        <v>131</v>
      </c>
      <c r="E1" s="3" t="s">
        <v>132</v>
      </c>
      <c r="F1" s="3" t="s">
        <v>133</v>
      </c>
    </row>
    <row r="2" customFormat="false" ht="23.85" hidden="false" customHeight="false" outlineLevel="0" collapsed="false">
      <c r="A2" s="9" t="str">
        <f aca="false">Summary!$A$5</f>
        <v>Baseline (Copilot v1)</v>
      </c>
      <c r="B2" s="6"/>
      <c r="C2" s="6" t="s">
        <v>134</v>
      </c>
      <c r="D2" s="6" t="s">
        <v>135</v>
      </c>
      <c r="E2" s="8" t="str">
        <f aca="false">IFERROR(INDEX(Summary!$G$5:$G$9,MATCH($A2,Summary!$A$5:$A$9,0)),"")</f>
        <v/>
      </c>
      <c r="F2" s="6"/>
    </row>
    <row r="3" customFormat="false" ht="15" hidden="false" customHeight="false" outlineLevel="0" collapsed="false">
      <c r="A3" s="9" t="str">
        <f aca="false">Summary!$A$6</f>
        <v>Copilot v2</v>
      </c>
      <c r="B3" s="6"/>
      <c r="C3" s="6"/>
      <c r="D3" s="6"/>
      <c r="E3" s="8" t="str">
        <f aca="false">IFERROR(INDEX(Summary!$G$5:$G$9,MATCH($A3,Summary!$A$5:$A$9,0)),"")</f>
        <v/>
      </c>
      <c r="F3" s="6"/>
    </row>
    <row r="4" customFormat="false" ht="15" hidden="false" customHeight="false" outlineLevel="0" collapsed="false">
      <c r="A4" s="9" t="str">
        <f aca="false">Summary!$A$7</f>
        <v>Copilot v3</v>
      </c>
      <c r="B4" s="6"/>
      <c r="C4" s="6"/>
      <c r="D4" s="6"/>
      <c r="E4" s="8" t="str">
        <f aca="false">IFERROR(INDEX(Summary!$G$5:$G$9,MATCH($A4,Summary!$A$5:$A$9,0)),"")</f>
        <v/>
      </c>
      <c r="F4" s="6"/>
    </row>
    <row r="5" customFormat="false" ht="15" hidden="false" customHeight="false" outlineLevel="0" collapsed="false">
      <c r="A5" s="9" t="str">
        <f aca="false">Summary!$A$8</f>
        <v>Copilot v4</v>
      </c>
      <c r="B5" s="6"/>
      <c r="C5" s="6"/>
      <c r="D5" s="6"/>
      <c r="E5" s="8" t="str">
        <f aca="false">IFERROR(INDEX(Summary!$G$5:$G$9,MATCH($A5,Summary!$A$5:$A$9,0)),"")</f>
        <v/>
      </c>
      <c r="F5" s="6"/>
    </row>
    <row r="6" customFormat="false" ht="15" hidden="false" customHeight="false" outlineLevel="0" collapsed="false">
      <c r="A6" s="9" t="str">
        <f aca="false">Summary!$A$9</f>
        <v>Python prototype</v>
      </c>
      <c r="B6" s="6"/>
      <c r="C6" s="6"/>
      <c r="D6" s="6"/>
      <c r="E6" s="8" t="str">
        <f aca="false">IFERROR(INDEX(Summary!$G$5:$G$9,MATCH($A6,Summary!$A$5:$A$9,0)),"")</f>
        <v/>
      </c>
      <c r="F6" s="6"/>
    </row>
    <row r="8" customFormat="false" ht="23.85" hidden="false" customHeight="false" outlineLevel="0" collapsed="false">
      <c r="A8" s="12" t="s">
        <v>136</v>
      </c>
      <c r="B8" s="12" t="s">
        <v>137</v>
      </c>
      <c r="C8" s="12" t="s">
        <v>138</v>
      </c>
      <c r="D8" s="12" t="s">
        <v>139</v>
      </c>
      <c r="E8" s="12"/>
      <c r="F8" s="12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2026-10-07T16:36:14Z</dcterms:created>
  <dc:creator>openpyxl</dc:creator>
  <dc:description/>
  <dc:language>en-US</dc:language>
  <cp:lastModifiedBy/>
  <dcterms:modified xsi:type="dcterms:W3CDTF">2026-10-07T16:36:14Z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